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afae\Documents\exercicios-excel\Excel\"/>
    </mc:Choice>
  </mc:AlternateContent>
  <xr:revisionPtr revIDLastSave="0" documentId="13_ncr:1_{183F4FC4-2413-4D75-8ECA-ED2923C8D75F}" xr6:coauthVersionLast="44" xr6:coauthVersionMax="44" xr10:uidLastSave="{00000000-0000-0000-0000-000000000000}"/>
  <bookViews>
    <workbookView xWindow="-120" yWindow="-120" windowWidth="20730" windowHeight="11760" activeTab="5" xr2:uid="{00000000-000D-0000-FFFF-FFFF00000000}"/>
  </bookViews>
  <sheets>
    <sheet name="Plan1" sheetId="1" r:id="rId1"/>
    <sheet name="Plan2" sheetId="2" r:id="rId2"/>
    <sheet name="Plan3" sheetId="3" r:id="rId3"/>
    <sheet name="Plan4" sheetId="4" r:id="rId4"/>
    <sheet name="Plan5" sheetId="5" r:id="rId5"/>
    <sheet name="Plan6" sheetId="6" r:id="rId6"/>
    <sheet name="Plan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5" l="1"/>
  <c r="B7" i="5"/>
  <c r="B13" i="5"/>
  <c r="S10" i="6" l="1"/>
  <c r="R10" i="6"/>
  <c r="R9" i="6"/>
  <c r="R8" i="6"/>
  <c r="S8" i="6"/>
  <c r="Q12" i="6"/>
  <c r="P12" i="6"/>
  <c r="Q8" i="6"/>
  <c r="T8" i="6"/>
  <c r="P8" i="6"/>
  <c r="G5" i="4" l="1"/>
  <c r="G6" i="4"/>
  <c r="G7" i="4"/>
  <c r="G8" i="4"/>
  <c r="G9" i="4"/>
  <c r="G10" i="4"/>
  <c r="G11" i="4"/>
  <c r="G12" i="4"/>
  <c r="G13" i="4"/>
  <c r="G14" i="4"/>
  <c r="G4" i="4"/>
  <c r="Q3" i="2"/>
  <c r="O3" i="2"/>
  <c r="O4" i="2"/>
  <c r="Q2" i="2" s="1"/>
  <c r="O5" i="2"/>
  <c r="O6" i="2"/>
  <c r="O7" i="2"/>
  <c r="O8" i="2"/>
  <c r="O9" i="2"/>
  <c r="O10" i="2"/>
  <c r="O2" i="2"/>
  <c r="N4" i="2"/>
  <c r="G2" i="2"/>
  <c r="G3" i="2"/>
  <c r="H3" i="2" s="1"/>
  <c r="G4" i="2"/>
  <c r="N2" i="2"/>
  <c r="M9" i="2"/>
  <c r="M8" i="2"/>
  <c r="H4" i="2"/>
  <c r="H6" i="2"/>
  <c r="H8" i="2"/>
  <c r="H10" i="2"/>
  <c r="G5" i="2"/>
  <c r="H5" i="2" s="1"/>
  <c r="G6" i="2"/>
  <c r="G7" i="2"/>
  <c r="H7" i="2" s="1"/>
  <c r="G8" i="2"/>
  <c r="G9" i="2"/>
  <c r="H9" i="2" s="1"/>
  <c r="G10" i="2"/>
  <c r="G11" i="2"/>
  <c r="H11" i="2" s="1"/>
  <c r="L2" i="2"/>
  <c r="G18" i="2"/>
  <c r="H18" i="2" s="1"/>
  <c r="G19" i="2"/>
  <c r="G16" i="2"/>
  <c r="H16" i="2" s="1"/>
  <c r="G17" i="2"/>
  <c r="G14" i="2"/>
  <c r="H14" i="2" s="1"/>
  <c r="G15" i="2"/>
  <c r="G13" i="2"/>
  <c r="H13" i="2" s="1"/>
  <c r="H17" i="2"/>
  <c r="H19" i="2"/>
  <c r="H15" i="2"/>
  <c r="H12" i="2"/>
  <c r="K15" i="2"/>
  <c r="I15" i="2"/>
  <c r="I14" i="2"/>
  <c r="C13" i="2"/>
  <c r="B21" i="4" l="1"/>
  <c r="B20" i="4"/>
  <c r="B19" i="4"/>
  <c r="B18" i="4"/>
  <c r="J5" i="4"/>
  <c r="M2" i="2"/>
  <c r="H2" i="2"/>
  <c r="E7" i="1" l="1"/>
</calcChain>
</file>

<file path=xl/sharedStrings.xml><?xml version="1.0" encoding="utf-8"?>
<sst xmlns="http://schemas.openxmlformats.org/spreadsheetml/2006/main" count="695" uniqueCount="211">
  <si>
    <t>Controle de Valor do aluguel do Carro</t>
  </si>
  <si>
    <t>O valor do aluguel do carro depende do tipo de carro, a km rodado e o número de dias. Outro fator que influencia no valor a pagar é o tipo de cliente (pessoa Física ou Jurídica)</t>
  </si>
  <si>
    <t>Calcule o valor a pagar pelo aluguel do carro. Não esqueça de validar o Tipo de Cliente e o Modelo de Carro.</t>
  </si>
  <si>
    <t>Cliente</t>
  </si>
  <si>
    <t>Pessoa Física</t>
  </si>
  <si>
    <t>Tipo de Carro</t>
  </si>
  <si>
    <t>Básico2</t>
  </si>
  <si>
    <t>Data de Retirada</t>
  </si>
  <si>
    <t xml:space="preserve">Km de Saída </t>
  </si>
  <si>
    <t>Data de Entrega</t>
  </si>
  <si>
    <t>Km da entrega</t>
  </si>
  <si>
    <t>Valor a Pagar</t>
  </si>
  <si>
    <t>???</t>
  </si>
  <si>
    <t>Tabela de Valores</t>
  </si>
  <si>
    <t>Carros</t>
  </si>
  <si>
    <t>Valor da Diária</t>
  </si>
  <si>
    <t>Valor por KM</t>
  </si>
  <si>
    <t>Básico1</t>
  </si>
  <si>
    <t>Intermediário1</t>
  </si>
  <si>
    <t>Intermediário2</t>
  </si>
  <si>
    <t>Utilitário1</t>
  </si>
  <si>
    <t>Utilitário2</t>
  </si>
  <si>
    <t>Especial</t>
  </si>
  <si>
    <t>Clientes</t>
  </si>
  <si>
    <t>Produto</t>
  </si>
  <si>
    <t>Cidade</t>
  </si>
  <si>
    <t>Quantidade 
Comprada</t>
  </si>
  <si>
    <t>Total a Pagar</t>
  </si>
  <si>
    <t>Total Por Cidade</t>
  </si>
  <si>
    <t>C1</t>
  </si>
  <si>
    <t>Monitor</t>
  </si>
  <si>
    <t>Jacutinga</t>
  </si>
  <si>
    <t>??</t>
  </si>
  <si>
    <t>C2</t>
  </si>
  <si>
    <t>Fogão</t>
  </si>
  <si>
    <t>Capivari</t>
  </si>
  <si>
    <t>C3</t>
  </si>
  <si>
    <t>TV</t>
  </si>
  <si>
    <t>São Paulo</t>
  </si>
  <si>
    <t>C4</t>
  </si>
  <si>
    <t>C5</t>
  </si>
  <si>
    <t>C6</t>
  </si>
  <si>
    <t>C7</t>
  </si>
  <si>
    <t>C8</t>
  </si>
  <si>
    <t>C9</t>
  </si>
  <si>
    <t>C10</t>
  </si>
  <si>
    <t>Tabela de Transporte</t>
  </si>
  <si>
    <t>Dados</t>
  </si>
  <si>
    <t>Embalagem</t>
  </si>
  <si>
    <t>Quantidade</t>
  </si>
  <si>
    <t>Região</t>
  </si>
  <si>
    <t>Tipo de Produto</t>
  </si>
  <si>
    <t>Valor</t>
  </si>
  <si>
    <t>P1</t>
  </si>
  <si>
    <t>CAIXA</t>
  </si>
  <si>
    <t>sul</t>
  </si>
  <si>
    <t>alimentos</t>
  </si>
  <si>
    <t>P2</t>
  </si>
  <si>
    <t>SACO</t>
  </si>
  <si>
    <t>norte</t>
  </si>
  <si>
    <t>suco</t>
  </si>
  <si>
    <t>P3</t>
  </si>
  <si>
    <t>P6</t>
  </si>
  <si>
    <t>P4</t>
  </si>
  <si>
    <t>P5</t>
  </si>
  <si>
    <t>Campeonato de Boliche</t>
  </si>
  <si>
    <t>Competidores</t>
  </si>
  <si>
    <t>Jogada1</t>
  </si>
  <si>
    <t>Jogada2</t>
  </si>
  <si>
    <t>Jogada3</t>
  </si>
  <si>
    <t>Jogada4</t>
  </si>
  <si>
    <t>Jogada5</t>
  </si>
  <si>
    <t>Total de Pontos</t>
  </si>
  <si>
    <t>ABEL</t>
  </si>
  <si>
    <t>ADAILSON</t>
  </si>
  <si>
    <t>ADEMIR</t>
  </si>
  <si>
    <t>ADEMIR NOGUEIRA</t>
  </si>
  <si>
    <t>ADEMILSON</t>
  </si>
  <si>
    <t>ADERSON</t>
  </si>
  <si>
    <t>ADONIR</t>
  </si>
  <si>
    <t>ADRIANO</t>
  </si>
  <si>
    <t>AGNALDO</t>
  </si>
  <si>
    <t>ALEXANDRE</t>
  </si>
  <si>
    <t>ALEXANDRE SOUSA</t>
  </si>
  <si>
    <t>Resultado final</t>
  </si>
  <si>
    <t>Primeiro Colocado</t>
  </si>
  <si>
    <t>Crie uma macro e um botão que apresente o total de pontos e o nome no resultado final.</t>
  </si>
  <si>
    <t>Segundo Colocado</t>
  </si>
  <si>
    <t>Terceiro Colocado</t>
  </si>
  <si>
    <t>Último Colocado</t>
  </si>
  <si>
    <t>Total a Pagar: é o valor gasto com a mercadoria, a quantidade e mais o transporte,</t>
  </si>
  <si>
    <t>Observação: o caminhão pode levar até 200 mercadorias por viagem, quando o valor ultrapassar a carga máxima por viagem, será cobrado mais um transporte</t>
  </si>
  <si>
    <t xml:space="preserve">Por exemplo se o cliente comprar 300 mercadorias serão cobrado 2X o valor da tabela de Transporte </t>
  </si>
  <si>
    <t>Crie uma macro para limpar (deletar) os resultados.</t>
  </si>
  <si>
    <t>Quando um carro é alugado por uma empresa o valor tem um desconto de 5,5%.</t>
  </si>
  <si>
    <t>Após 10 dias com o carro o valor o cliente tem um desconto de 6,5%.</t>
  </si>
  <si>
    <t>Se o valor ultrapassar R$ 75.000,00 oferecer um desconto de 4,5%</t>
  </si>
  <si>
    <t>Destino</t>
  </si>
  <si>
    <t>Brasília</t>
  </si>
  <si>
    <t>Tipo de passageiro: Aposentado; crianças; conveniados; balcão</t>
  </si>
  <si>
    <t>Origem</t>
  </si>
  <si>
    <t>Tipo de transporte: rodoviário e aéreo</t>
  </si>
  <si>
    <t>Passageiro</t>
  </si>
  <si>
    <t>Tipo de transporte</t>
  </si>
  <si>
    <t>Calcule o valor da passagem:</t>
  </si>
  <si>
    <t>De acordo com a distância entre as cidades, a empresa necessita uma planilha para fazer o cálculo da passagem, para isso vários fatores deverão ser considerados:</t>
  </si>
  <si>
    <t>Se o tipo de transporte for o rodoviário, o valor por Km a ser cobrado será de R$ 0,31 por km. Porém alguns tipos de passageiros apresenta alguns benefícios:</t>
  </si>
  <si>
    <t>Aposentados e criança --&gt; paga 50% do valor; conveniados tem um desconto de 22% e o balcão a cobrança é integral.</t>
  </si>
  <si>
    <t>Já para as passagens aéreas, o valor cobrado é de R$ 1,02 por km. Na passagem aérea somente o conveniado tem o desconto de 12%.</t>
  </si>
  <si>
    <t>Obs.: se o usuário definir o destino igual a origem, a distância será 0 (zero), neste caso apresente a mensagem: "destino ou origem incorreto, favor verificar".</t>
  </si>
  <si>
    <t>Rodoviário</t>
  </si>
  <si>
    <t>Aéreo</t>
  </si>
  <si>
    <t>Aracajú</t>
  </si>
  <si>
    <t>Belém</t>
  </si>
  <si>
    <t>Belo Horizonte</t>
  </si>
  <si>
    <t>Boa Vista</t>
  </si>
  <si>
    <t>Campo Grande</t>
  </si>
  <si>
    <t>Cuiabá</t>
  </si>
  <si>
    <t>Curitiba</t>
  </si>
  <si>
    <t>Florianópolis</t>
  </si>
  <si>
    <t>Fortaleza</t>
  </si>
  <si>
    <t>Goiânia</t>
  </si>
  <si>
    <t>João Pessoa</t>
  </si>
  <si>
    <t>B. Horizonte</t>
  </si>
  <si>
    <t>C. Grande</t>
  </si>
  <si>
    <t>Plano Médico</t>
  </si>
  <si>
    <t>Intermedica</t>
  </si>
  <si>
    <t>Faça as validações necessárias</t>
  </si>
  <si>
    <t>Tipo</t>
  </si>
  <si>
    <t>Familiar</t>
  </si>
  <si>
    <t>Faixa Etária</t>
  </si>
  <si>
    <t>29 a 33 anos</t>
  </si>
  <si>
    <t>De acordo com o plano médico, a faixa etária, o tipo e a acomodações é possível através de fórmula informar o valor a ser pago.</t>
  </si>
  <si>
    <t>Acomodação</t>
  </si>
  <si>
    <t xml:space="preserve">Obs.: Alguns planos (Intermédica e Universal Saúde), não possui todos os tipos de acomodações, quando escolhido um tipo de acomodação </t>
  </si>
  <si>
    <t>não existentee na tabela, apresente a mensagem "Não temos este tipo de Acomodações!"</t>
  </si>
  <si>
    <t>Ameplan</t>
  </si>
  <si>
    <t>Universal Saúde</t>
  </si>
  <si>
    <t>INDIVIDUAL (Plano Odontológico incluso)</t>
  </si>
  <si>
    <t>INDIVIDUAL</t>
  </si>
  <si>
    <t>Individual</t>
  </si>
  <si>
    <t>Pleno
Enfer.</t>
  </si>
  <si>
    <t>Pleno
Apto.</t>
  </si>
  <si>
    <t>Masnter
Enfer.</t>
  </si>
  <si>
    <t>Master
Apto.</t>
  </si>
  <si>
    <t>00 a 18 anos</t>
  </si>
  <si>
    <t>R$ 85.42</t>
  </si>
  <si>
    <t>R$ 108.90</t>
  </si>
  <si>
    <t>19 a 23 anos</t>
  </si>
  <si>
    <t>R$ 102.76</t>
  </si>
  <si>
    <t>R$ 131.01</t>
  </si>
  <si>
    <t>24 a 28 anos</t>
  </si>
  <si>
    <t>R$ 110.52</t>
  </si>
  <si>
    <t>R$ 140.91</t>
  </si>
  <si>
    <t>R$ 137.69</t>
  </si>
  <si>
    <t>R$ 175.51</t>
  </si>
  <si>
    <t>34 a 38 anos</t>
  </si>
  <si>
    <t>R$ 149.33</t>
  </si>
  <si>
    <t>R$ 190.36</t>
  </si>
  <si>
    <t>39 a 43 anos</t>
  </si>
  <si>
    <t>R$ 176.50</t>
  </si>
  <si>
    <t>R$ 224.97</t>
  </si>
  <si>
    <t>44 a 48 anos</t>
  </si>
  <si>
    <t>R$ 214.50</t>
  </si>
  <si>
    <t>R$ 273.42</t>
  </si>
  <si>
    <t>49 a 53 anos</t>
  </si>
  <si>
    <t>R$ 287.03</t>
  </si>
  <si>
    <t>R$ 365.89</t>
  </si>
  <si>
    <t>54 a 58 anos</t>
  </si>
  <si>
    <t>R$ 360.75</t>
  </si>
  <si>
    <t>R$ 459.81</t>
  </si>
  <si>
    <t>+ de 59 anos</t>
  </si>
  <si>
    <t>421,06</t>
  </si>
  <si>
    <t>380,00</t>
  </si>
  <si>
    <t>R$ 512.43</t>
  </si>
  <si>
    <t>R$ 653.13</t>
  </si>
  <si>
    <t>FAMILIAR - TITULAR COM 1 OU + DEPENDENTES</t>
  </si>
  <si>
    <t>FAMILIAR</t>
  </si>
  <si>
    <t>(Plano Odontológico incluso)</t>
  </si>
  <si>
    <t>378,65</t>
  </si>
  <si>
    <t>337,91</t>
  </si>
  <si>
    <t>Tipo de Apartamentos</t>
  </si>
  <si>
    <t>Master</t>
  </si>
  <si>
    <t>Tipo de Cliente</t>
  </si>
  <si>
    <t>Número de Dias</t>
  </si>
  <si>
    <t>Tipos de Apartamentos</t>
  </si>
  <si>
    <t>Valor da diária</t>
  </si>
  <si>
    <t>Tabela de desconto por tipo de cliente</t>
  </si>
  <si>
    <t>Solteiro</t>
  </si>
  <si>
    <t>% de Desconto</t>
  </si>
  <si>
    <t>Duplo</t>
  </si>
  <si>
    <t>Particular</t>
  </si>
  <si>
    <t>Casal</t>
  </si>
  <si>
    <t>Viajantes</t>
  </si>
  <si>
    <t>Família</t>
  </si>
  <si>
    <t>Empresa</t>
  </si>
  <si>
    <t>Conveniados</t>
  </si>
  <si>
    <t>Master Luxo</t>
  </si>
  <si>
    <t>Empresa de Turismo</t>
  </si>
  <si>
    <t>Dados: Faça as validações necessárias</t>
  </si>
  <si>
    <t xml:space="preserve">Calcule o valor a pagar: </t>
  </si>
  <si>
    <t>O valor a pagar depende do tipo de Apartamento de acordo com a tabela, porém para cada tipo de cliente há um desconto especial conforme a tabela de desconto por tipo de cliente.</t>
  </si>
  <si>
    <t>Portanto, o valor a pagar depende do tipo de cliente (pelo desconto) e o tipo de apartamento e o número de dias.</t>
  </si>
  <si>
    <t>Obs.:</t>
  </si>
  <si>
    <t>Todos os clientes que ficarem mais de 7 dias terão mais um desconto de 7,5%</t>
  </si>
  <si>
    <t xml:space="preserve"> =PROCH()</t>
  </si>
  <si>
    <t>Saude</t>
  </si>
  <si>
    <t xml:space="preserve"> ← Resultado</t>
  </si>
  <si>
    <t xml:space="preserve"> =PROCV(B1;B21:N21;CORRESP(B1;N</t>
  </si>
  <si>
    <t>índices</t>
  </si>
  <si>
    <t>ADAPTAR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</si>
</sst>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.00_-;\-&quot;R$&quot;\ * #,##0.00_-;_-&quot;R$&quot;\ * &quot;-&quot;??_-;_-@_-"/>
    <numFmt numFmtId="165" formatCode="0.000"/>
    <numFmt numFmtId="166" formatCode="_(&quot;R$ &quot;* #,##0.00_);_(&quot;R$ &quot;* \(#,##0.00\);_(&quot;R$ &quot;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sz val="8"/>
      <color rgb="FF000099"/>
      <name val="Verdana"/>
      <family val="2"/>
    </font>
    <font>
      <sz val="8"/>
      <color theme="1"/>
      <name val="Verdana"/>
      <family val="2"/>
    </font>
    <font>
      <sz val="7.5"/>
      <color theme="1"/>
      <name val="Tahoma"/>
      <family val="2"/>
    </font>
    <font>
      <b/>
      <sz val="7.5"/>
      <color rgb="FF800000"/>
      <name val="Tahoma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rgb="FFFF0000"/>
      <name val="Verdana"/>
      <family val="2"/>
    </font>
    <font>
      <b/>
      <sz val="15"/>
      <color rgb="FFFFFFFF"/>
      <name val="Verdana"/>
      <family val="2"/>
    </font>
    <font>
      <sz val="9"/>
      <color theme="1"/>
      <name val="Verdana"/>
      <family val="2"/>
    </font>
    <font>
      <sz val="9"/>
      <color rgb="FF000000"/>
      <name val="Verdana"/>
      <family val="2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7B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9B0B3"/>
        <bgColor indexed="64"/>
      </patternFill>
    </fill>
    <fill>
      <patternFill patternType="solid">
        <fgColor rgb="FFCADDDF"/>
        <bgColor indexed="64"/>
      </patternFill>
    </fill>
    <fill>
      <patternFill patternType="solid">
        <fgColor theme="4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1" xfId="0" applyBorder="1"/>
    <xf numFmtId="0" fontId="3" fillId="0" borderId="0" xfId="0" applyFont="1"/>
    <xf numFmtId="165" fontId="0" fillId="0" borderId="0" xfId="0" applyNumberFormat="1"/>
    <xf numFmtId="166" fontId="0" fillId="0" borderId="1" xfId="1" applyNumberFormat="1" applyFont="1" applyBorder="1"/>
    <xf numFmtId="0" fontId="5" fillId="0" borderId="1" xfId="0" applyFont="1" applyBorder="1"/>
    <xf numFmtId="0" fontId="5" fillId="0" borderId="1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wrapText="1"/>
    </xf>
    <xf numFmtId="0" fontId="2" fillId="2" borderId="7" xfId="0" applyFont="1" applyFill="1" applyBorder="1"/>
    <xf numFmtId="0" fontId="2" fillId="2" borderId="0" xfId="0" applyFont="1" applyFill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wrapText="1"/>
    </xf>
    <xf numFmtId="0" fontId="7" fillId="5" borderId="8" xfId="0" applyFont="1" applyFill="1" applyBorder="1" applyAlignment="1">
      <alignment wrapText="1"/>
    </xf>
    <xf numFmtId="0" fontId="0" fillId="0" borderId="0" xfId="0" applyAlignment="1"/>
    <xf numFmtId="0" fontId="8" fillId="0" borderId="8" xfId="0" applyFont="1" applyBorder="1" applyAlignment="1">
      <alignment horizontal="center" wrapText="1"/>
    </xf>
    <xf numFmtId="3" fontId="8" fillId="6" borderId="8" xfId="0" applyNumberFormat="1" applyFont="1" applyFill="1" applyBorder="1" applyAlignment="1">
      <alignment horizontal="center" wrapText="1"/>
    </xf>
    <xf numFmtId="0" fontId="8" fillId="6" borderId="8" xfId="0" applyFont="1" applyFill="1" applyBorder="1" applyAlignment="1">
      <alignment horizontal="center" wrapText="1"/>
    </xf>
    <xf numFmtId="3" fontId="8" fillId="7" borderId="8" xfId="0" applyNumberFormat="1" applyFont="1" applyFill="1" applyBorder="1" applyAlignment="1">
      <alignment horizontal="center" wrapText="1"/>
    </xf>
    <xf numFmtId="0" fontId="8" fillId="7" borderId="8" xfId="0" applyFont="1" applyFill="1" applyBorder="1" applyAlignment="1">
      <alignment horizontal="center" wrapText="1"/>
    </xf>
    <xf numFmtId="3" fontId="8" fillId="7" borderId="9" xfId="0" applyNumberFormat="1" applyFont="1" applyFill="1" applyBorder="1" applyAlignment="1">
      <alignment wrapText="1"/>
    </xf>
    <xf numFmtId="3" fontId="8" fillId="7" borderId="10" xfId="0" applyNumberFormat="1" applyFont="1" applyFill="1" applyBorder="1" applyAlignment="1">
      <alignment wrapText="1"/>
    </xf>
    <xf numFmtId="3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11" fillId="8" borderId="0" xfId="0" applyFont="1" applyFill="1"/>
    <xf numFmtId="0" fontId="12" fillId="0" borderId="0" xfId="0" applyFont="1"/>
    <xf numFmtId="0" fontId="16" fillId="10" borderId="16" xfId="0" applyFont="1" applyFill="1" applyBorder="1" applyAlignment="1">
      <alignment horizontal="center" wrapText="1"/>
    </xf>
    <xf numFmtId="0" fontId="16" fillId="11" borderId="16" xfId="0" applyFont="1" applyFill="1" applyBorder="1" applyAlignment="1">
      <alignment horizontal="center" wrapText="1"/>
    </xf>
    <xf numFmtId="0" fontId="17" fillId="11" borderId="17" xfId="0" applyFont="1" applyFill="1" applyBorder="1" applyAlignment="1">
      <alignment horizontal="center" wrapText="1"/>
    </xf>
    <xf numFmtId="0" fontId="17" fillId="11" borderId="18" xfId="0" applyFont="1" applyFill="1" applyBorder="1" applyAlignment="1">
      <alignment horizontal="center" wrapText="1"/>
    </xf>
    <xf numFmtId="0" fontId="16" fillId="8" borderId="16" xfId="0" applyFont="1" applyFill="1" applyBorder="1" applyAlignment="1">
      <alignment horizontal="center" wrapText="1"/>
    </xf>
    <xf numFmtId="0" fontId="17" fillId="11" borderId="25" xfId="0" applyFont="1" applyFill="1" applyBorder="1" applyAlignment="1">
      <alignment horizontal="center" wrapText="1"/>
    </xf>
    <xf numFmtId="0" fontId="17" fillId="11" borderId="26" xfId="0" applyFont="1" applyFill="1" applyBorder="1" applyAlignment="1">
      <alignment horizontal="center" wrapText="1"/>
    </xf>
    <xf numFmtId="0" fontId="3" fillId="12" borderId="1" xfId="0" applyFont="1" applyFill="1" applyBorder="1"/>
    <xf numFmtId="0" fontId="3" fillId="12" borderId="0" xfId="0" applyFont="1" applyFill="1"/>
    <xf numFmtId="9" fontId="0" fillId="0" borderId="1" xfId="0" applyNumberFormat="1" applyBorder="1"/>
    <xf numFmtId="0" fontId="18" fillId="0" borderId="0" xfId="0" applyFont="1"/>
    <xf numFmtId="0" fontId="19" fillId="0" borderId="1" xfId="0" applyFont="1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164" fontId="0" fillId="0" borderId="1" xfId="1" applyFont="1" applyBorder="1" applyProtection="1">
      <protection locked="0"/>
    </xf>
    <xf numFmtId="0" fontId="0" fillId="0" borderId="1" xfId="0" applyBorder="1" applyProtection="1"/>
    <xf numFmtId="0" fontId="20" fillId="0" borderId="0" xfId="0" applyFont="1"/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15" fillId="9" borderId="19" xfId="0" applyFont="1" applyFill="1" applyBorder="1" applyAlignment="1">
      <alignment horizontal="center" wrapText="1"/>
    </xf>
    <xf numFmtId="0" fontId="15" fillId="9" borderId="20" xfId="0" applyFont="1" applyFill="1" applyBorder="1" applyAlignment="1">
      <alignment horizontal="center" wrapText="1"/>
    </xf>
    <xf numFmtId="0" fontId="15" fillId="9" borderId="21" xfId="0" applyFont="1" applyFill="1" applyBorder="1" applyAlignment="1">
      <alignment horizontal="center" wrapText="1"/>
    </xf>
    <xf numFmtId="0" fontId="15" fillId="9" borderId="12" xfId="0" applyFont="1" applyFill="1" applyBorder="1" applyAlignment="1">
      <alignment horizontal="center" wrapText="1"/>
    </xf>
    <xf numFmtId="0" fontId="15" fillId="9" borderId="13" xfId="0" applyFont="1" applyFill="1" applyBorder="1" applyAlignment="1">
      <alignment horizontal="center" wrapText="1"/>
    </xf>
    <xf numFmtId="0" fontId="15" fillId="9" borderId="14" xfId="0" applyFont="1" applyFill="1" applyBorder="1" applyAlignment="1">
      <alignment horizontal="center" wrapText="1"/>
    </xf>
    <xf numFmtId="0" fontId="15" fillId="9" borderId="22" xfId="0" applyFont="1" applyFill="1" applyBorder="1" applyAlignment="1">
      <alignment horizontal="center" wrapText="1"/>
    </xf>
    <xf numFmtId="0" fontId="15" fillId="9" borderId="23" xfId="0" applyFont="1" applyFill="1" applyBorder="1" applyAlignment="1">
      <alignment horizontal="center" wrapText="1"/>
    </xf>
    <xf numFmtId="0" fontId="15" fillId="9" borderId="11" xfId="0" applyFont="1" applyFill="1" applyBorder="1" applyAlignment="1">
      <alignment horizontal="center" wrapText="1"/>
    </xf>
    <xf numFmtId="0" fontId="15" fillId="9" borderId="24" xfId="0" applyFont="1" applyFill="1" applyBorder="1" applyAlignment="1">
      <alignment horizontal="center" wrapText="1"/>
    </xf>
    <xf numFmtId="0" fontId="15" fillId="9" borderId="15" xfId="0" applyFont="1" applyFill="1" applyBorder="1" applyAlignment="1">
      <alignment horizontal="center" wrapText="1"/>
    </xf>
    <xf numFmtId="0" fontId="13" fillId="8" borderId="11" xfId="0" applyFont="1" applyFill="1" applyBorder="1" applyAlignment="1">
      <alignment horizontal="center"/>
    </xf>
    <xf numFmtId="0" fontId="14" fillId="8" borderId="0" xfId="0" applyFont="1" applyFill="1" applyAlignment="1">
      <alignment horizontal="center" wrapText="1"/>
    </xf>
    <xf numFmtId="164" fontId="15" fillId="9" borderId="15" xfId="1" applyFont="1" applyFill="1" applyBorder="1" applyAlignment="1">
      <alignment horizontal="center" wrapText="1"/>
    </xf>
    <xf numFmtId="164" fontId="15" fillId="9" borderId="11" xfId="1" applyFont="1" applyFill="1" applyBorder="1" applyAlignment="1">
      <alignment horizontal="center" wrapText="1"/>
    </xf>
    <xf numFmtId="0" fontId="3" fillId="12" borderId="0" xfId="0" applyFont="1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0</xdr:row>
      <xdr:rowOff>180976</xdr:rowOff>
    </xdr:from>
    <xdr:to>
      <xdr:col>13</xdr:col>
      <xdr:colOff>285749</xdr:colOff>
      <xdr:row>6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19674" y="180976"/>
          <a:ext cx="4429125" cy="10382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Dados</a:t>
          </a:r>
          <a:r>
            <a:rPr lang="pt-BR" sz="1100" b="1" baseline="0"/>
            <a:t> os dados ao lado,  crie uma tabela dinâmica e depois faça as seguintes macros:</a:t>
          </a:r>
        </a:p>
        <a:p>
          <a:r>
            <a:rPr lang="pt-BR" sz="1100" b="1" baseline="0"/>
            <a:t>*Mostre Região, Produto e valor;</a:t>
          </a:r>
        </a:p>
        <a:p>
          <a:r>
            <a:rPr lang="pt-BR" sz="1100" b="1" baseline="0"/>
            <a:t>* Tipo de Produto e valor;</a:t>
          </a:r>
        </a:p>
        <a:p>
          <a:r>
            <a:rPr lang="pt-BR" sz="1100" b="1" baseline="0"/>
            <a:t>* Para limpar a tabela dinâmica</a:t>
          </a:r>
        </a:p>
        <a:p>
          <a:r>
            <a:rPr lang="pt-BR" sz="1100" b="1" baseline="0"/>
            <a:t>*criem botôes e atribua as macros</a:t>
          </a:r>
          <a:endParaRPr lang="pt-BR" sz="1100" b="1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13</xdr:col>
      <xdr:colOff>495300</xdr:colOff>
      <xdr:row>10</xdr:row>
      <xdr:rowOff>57149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505450" y="1333500"/>
          <a:ext cx="4152900" cy="628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Copie os dados em uma nova planilha e crie um botão para criar um subtotal por Produto somando o valor.</a:t>
          </a:r>
        </a:p>
        <a:p>
          <a:r>
            <a:rPr lang="pt-BR" sz="1100" b="1" baseline="0"/>
            <a:t>Crie um botão para limpar o subtotal.</a:t>
          </a:r>
        </a:p>
        <a:p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9525</xdr:rowOff>
        </xdr:from>
        <xdr:to>
          <xdr:col>14</xdr:col>
          <xdr:colOff>438150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Botão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161925</xdr:rowOff>
        </xdr:from>
        <xdr:to>
          <xdr:col>14</xdr:col>
          <xdr:colOff>581025</xdr:colOff>
          <xdr:row>5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Pontos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</xdr:row>
          <xdr:rowOff>19050</xdr:rowOff>
        </xdr:from>
        <xdr:to>
          <xdr:col>14</xdr:col>
          <xdr:colOff>476250</xdr:colOff>
          <xdr:row>8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Resetar Pontos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6"/>
  <sheetViews>
    <sheetView workbookViewId="0">
      <selection activeCell="B7" sqref="B7"/>
    </sheetView>
  </sheetViews>
  <sheetFormatPr defaultRowHeight="15" x14ac:dyDescent="0.25"/>
  <cols>
    <col min="1" max="1" width="17.42578125" style="42" customWidth="1"/>
    <col min="2" max="2" width="15.28515625" style="42" customWidth="1"/>
    <col min="3" max="3" width="13" style="42" customWidth="1"/>
    <col min="4" max="16384" width="9.140625" style="42"/>
  </cols>
  <sheetData>
    <row r="1" spans="1:5" x14ac:dyDescent="0.25">
      <c r="A1" s="42" t="s">
        <v>0</v>
      </c>
    </row>
    <row r="2" spans="1:5" x14ac:dyDescent="0.25">
      <c r="A2" s="42" t="s">
        <v>1</v>
      </c>
    </row>
    <row r="3" spans="1:5" x14ac:dyDescent="0.25">
      <c r="A3" s="42" t="s">
        <v>94</v>
      </c>
    </row>
    <row r="4" spans="1:5" x14ac:dyDescent="0.25">
      <c r="A4" s="42" t="s">
        <v>95</v>
      </c>
    </row>
    <row r="5" spans="1:5" x14ac:dyDescent="0.25">
      <c r="A5" s="42" t="s">
        <v>2</v>
      </c>
    </row>
    <row r="7" spans="1:5" x14ac:dyDescent="0.25">
      <c r="A7" s="43" t="s">
        <v>3</v>
      </c>
      <c r="B7" s="43" t="s">
        <v>4</v>
      </c>
      <c r="D7" s="42" t="s">
        <v>205</v>
      </c>
      <c r="E7" s="42" t="e">
        <f>HLOOKUP(B20,A18:C26,MATCH(B8,A18:A26,0),0)</f>
        <v>#N/A</v>
      </c>
    </row>
    <row r="8" spans="1:5" x14ac:dyDescent="0.25">
      <c r="A8" s="43" t="s">
        <v>5</v>
      </c>
      <c r="B8" s="43" t="s">
        <v>6</v>
      </c>
    </row>
    <row r="9" spans="1:5" x14ac:dyDescent="0.25">
      <c r="A9" s="43" t="s">
        <v>7</v>
      </c>
      <c r="B9" s="44">
        <v>43149</v>
      </c>
    </row>
    <row r="10" spans="1:5" x14ac:dyDescent="0.25">
      <c r="A10" s="43" t="s">
        <v>8</v>
      </c>
      <c r="B10" s="43">
        <v>23546</v>
      </c>
    </row>
    <row r="11" spans="1:5" x14ac:dyDescent="0.25">
      <c r="A11" s="43" t="s">
        <v>9</v>
      </c>
      <c r="B11" s="44">
        <v>43153</v>
      </c>
    </row>
    <row r="12" spans="1:5" x14ac:dyDescent="0.25">
      <c r="A12" s="43" t="s">
        <v>10</v>
      </c>
      <c r="B12" s="43">
        <v>25608</v>
      </c>
    </row>
    <row r="13" spans="1:5" x14ac:dyDescent="0.25">
      <c r="A13" s="43" t="s">
        <v>11</v>
      </c>
      <c r="B13" s="47" t="s">
        <v>12</v>
      </c>
    </row>
    <row r="17" spans="1:3" ht="15.75" thickBot="1" x14ac:dyDescent="0.3"/>
    <row r="18" spans="1:3" x14ac:dyDescent="0.25">
      <c r="A18" s="49" t="s">
        <v>13</v>
      </c>
      <c r="B18" s="50"/>
      <c r="C18" s="51"/>
    </row>
    <row r="19" spans="1:3" x14ac:dyDescent="0.25">
      <c r="A19" s="45" t="s">
        <v>14</v>
      </c>
      <c r="B19" s="45" t="s">
        <v>15</v>
      </c>
      <c r="C19" s="45" t="s">
        <v>16</v>
      </c>
    </row>
    <row r="20" spans="1:3" x14ac:dyDescent="0.25">
      <c r="A20" s="43" t="s">
        <v>17</v>
      </c>
      <c r="B20" s="46">
        <v>55</v>
      </c>
      <c r="C20" s="46">
        <v>0.15</v>
      </c>
    </row>
    <row r="21" spans="1:3" x14ac:dyDescent="0.25">
      <c r="A21" s="43" t="s">
        <v>6</v>
      </c>
      <c r="B21" s="46">
        <v>60</v>
      </c>
      <c r="C21" s="46">
        <v>0.17</v>
      </c>
    </row>
    <row r="22" spans="1:3" x14ac:dyDescent="0.25">
      <c r="A22" s="43" t="s">
        <v>18</v>
      </c>
      <c r="B22" s="46">
        <v>65</v>
      </c>
      <c r="C22" s="46">
        <v>0.18</v>
      </c>
    </row>
    <row r="23" spans="1:3" x14ac:dyDescent="0.25">
      <c r="A23" s="43" t="s">
        <v>19</v>
      </c>
      <c r="B23" s="46">
        <v>70</v>
      </c>
      <c r="C23" s="46">
        <v>0.18</v>
      </c>
    </row>
    <row r="24" spans="1:3" x14ac:dyDescent="0.25">
      <c r="A24" s="43" t="s">
        <v>20</v>
      </c>
      <c r="B24" s="46">
        <v>80</v>
      </c>
      <c r="C24" s="46">
        <v>0.21</v>
      </c>
    </row>
    <row r="25" spans="1:3" x14ac:dyDescent="0.25">
      <c r="A25" s="43" t="s">
        <v>21</v>
      </c>
      <c r="B25" s="46">
        <v>80</v>
      </c>
      <c r="C25" s="46">
        <v>0.21</v>
      </c>
    </row>
    <row r="26" spans="1:3" x14ac:dyDescent="0.25">
      <c r="A26" s="43" t="s">
        <v>22</v>
      </c>
      <c r="B26" s="46">
        <v>95</v>
      </c>
      <c r="C26" s="46">
        <v>0.31</v>
      </c>
    </row>
  </sheetData>
  <mergeCells count="1">
    <mergeCell ref="A18:C18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28"/>
  <sheetViews>
    <sheetView workbookViewId="0">
      <selection activeCell="P7" sqref="P7"/>
    </sheetView>
  </sheetViews>
  <sheetFormatPr defaultRowHeight="15" x14ac:dyDescent="0.25"/>
  <cols>
    <col min="4" max="4" width="12.7109375" customWidth="1"/>
    <col min="5" max="5" width="17.5703125" customWidth="1"/>
    <col min="6" max="6" width="8.28515625" customWidth="1"/>
    <col min="7" max="7" width="14.28515625" bestFit="1" customWidth="1"/>
    <col min="8" max="8" width="12.42578125" bestFit="1" customWidth="1"/>
    <col min="11" max="11" width="18" customWidth="1"/>
    <col min="14" max="14" width="12.42578125" bestFit="1" customWidth="1"/>
  </cols>
  <sheetData>
    <row r="1" spans="1:17" ht="35.25" customHeight="1" x14ac:dyDescent="0.25">
      <c r="A1" s="7" t="s">
        <v>23</v>
      </c>
      <c r="B1" s="8" t="s">
        <v>24</v>
      </c>
      <c r="C1" s="8" t="s">
        <v>25</v>
      </c>
      <c r="D1" s="9" t="s">
        <v>26</v>
      </c>
      <c r="E1" s="10" t="s">
        <v>27</v>
      </c>
      <c r="I1" s="52" t="s">
        <v>28</v>
      </c>
      <c r="J1" s="52"/>
      <c r="K1" s="52"/>
    </row>
    <row r="2" spans="1:17" ht="31.5" x14ac:dyDescent="0.5">
      <c r="A2" s="1" t="s">
        <v>29</v>
      </c>
      <c r="B2" s="1" t="s">
        <v>30</v>
      </c>
      <c r="C2" s="1" t="s">
        <v>31</v>
      </c>
      <c r="D2" s="1">
        <v>201</v>
      </c>
      <c r="E2" s="1" t="s">
        <v>12</v>
      </c>
      <c r="F2" s="40"/>
      <c r="G2">
        <f>VLOOKUP(B2,$A$14:$B$16,2,0)*D2+VLOOKUP(C2,$E$14:$F$16,2,0)*(INT(D2/200)+IF(MOD(D2,200)&gt;0,1,0))</f>
        <v>70850</v>
      </c>
      <c r="H2" t="b">
        <f>G2&gt;75000</f>
        <v>0</v>
      </c>
      <c r="I2" s="1" t="s">
        <v>30</v>
      </c>
      <c r="J2" s="1" t="s">
        <v>31</v>
      </c>
      <c r="K2" s="41"/>
      <c r="L2">
        <f>VLOOKUP(C7,$E$14:$F$16,2,0)+VLOOKUP(C7,$E$14:$F$16,2,0)</f>
        <v>500</v>
      </c>
      <c r="M2">
        <f>SUMIF(G2:G11,C2=VLOOKUP(C2,E14:F16,1,0))</f>
        <v>0</v>
      </c>
      <c r="N2" t="b">
        <f>C2=VLOOKUP(C2,E14:F16,1,0)</f>
        <v>1</v>
      </c>
      <c r="O2" t="str">
        <f>C2&amp;B2</f>
        <v>JacutingaMonitor</v>
      </c>
      <c r="Q2">
        <f ca="1">SUMIF($O$2:$P$11,$I$2&amp;$J$2,$G$2:$G$11)</f>
        <v>0</v>
      </c>
    </row>
    <row r="3" spans="1:17" ht="26.25" x14ac:dyDescent="0.4">
      <c r="A3" s="1" t="s">
        <v>33</v>
      </c>
      <c r="B3" s="1" t="s">
        <v>34</v>
      </c>
      <c r="C3" s="1" t="s">
        <v>31</v>
      </c>
      <c r="D3" s="1">
        <v>300</v>
      </c>
      <c r="E3" s="1" t="s">
        <v>12</v>
      </c>
      <c r="F3" s="40"/>
      <c r="G3">
        <f t="shared" ref="G3:G4" si="0">(VLOOKUP(B3,$A$14:$B$16,2,0)*D3+VLOOKUP(C3,$E$14:$F$16,2,0)*(INT(D3/200)+IF(MOD(D3,200)&gt;0,1,0)))</f>
        <v>84500</v>
      </c>
      <c r="H3" t="b">
        <f t="shared" ref="H3:H11" si="1">G3&gt;75000</f>
        <v>1</v>
      </c>
      <c r="I3" s="1" t="s">
        <v>30</v>
      </c>
      <c r="J3" s="1" t="s">
        <v>35</v>
      </c>
      <c r="K3" s="1" t="s">
        <v>32</v>
      </c>
      <c r="O3" t="str">
        <f t="shared" ref="O3:O10" si="2">C3&amp;B3</f>
        <v>JacutingaFogão</v>
      </c>
      <c r="Q3" t="e">
        <f>IF(O2:P11=I2&amp;J2,1,2)</f>
        <v>#VALUE!</v>
      </c>
    </row>
    <row r="4" spans="1:17" ht="26.25" x14ac:dyDescent="0.4">
      <c r="A4" s="1" t="s">
        <v>36</v>
      </c>
      <c r="B4" s="1" t="s">
        <v>37</v>
      </c>
      <c r="C4" s="1" t="s">
        <v>35</v>
      </c>
      <c r="D4" s="1">
        <v>250</v>
      </c>
      <c r="E4" s="1" t="s">
        <v>12</v>
      </c>
      <c r="F4" s="40"/>
      <c r="G4">
        <f t="shared" si="0"/>
        <v>375158</v>
      </c>
      <c r="H4" t="b">
        <f t="shared" si="1"/>
        <v>1</v>
      </c>
      <c r="I4" s="1" t="s">
        <v>30</v>
      </c>
      <c r="J4" s="1" t="s">
        <v>38</v>
      </c>
      <c r="K4" s="1" t="s">
        <v>32</v>
      </c>
      <c r="N4">
        <f>VLOOKUP(B2,$A$14:$B$16,2,0)*D2+VLOOKUP(C2,$E$14:$F$16,2,0)*(INT(D2/200)+IF(MOD(D2,200)&gt;0,1,0))</f>
        <v>70850</v>
      </c>
      <c r="O4" t="str">
        <f t="shared" si="2"/>
        <v>CapivariTV</v>
      </c>
    </row>
    <row r="5" spans="1:17" ht="26.25" x14ac:dyDescent="0.4">
      <c r="A5" s="1" t="s">
        <v>39</v>
      </c>
      <c r="B5" s="1" t="s">
        <v>37</v>
      </c>
      <c r="C5" s="1" t="s">
        <v>38</v>
      </c>
      <c r="D5" s="1">
        <v>180</v>
      </c>
      <c r="E5" s="1" t="s">
        <v>12</v>
      </c>
      <c r="F5" s="40"/>
      <c r="G5">
        <f t="shared" ref="G5:G11" si="3">(VLOOKUP(B5,$A$14:$B$16,2,0)*D5+IF(D5&gt;200,VLOOKUP(C5,$E$14:$F$16,2,0)+VLOOKUP(C5,$E$14:$F$16,2,0),VLOOKUP(C5,$E$14:$F$16,2,0)))</f>
        <v>270125</v>
      </c>
      <c r="H5" t="b">
        <f t="shared" si="1"/>
        <v>1</v>
      </c>
      <c r="I5" s="1" t="s">
        <v>37</v>
      </c>
      <c r="J5" s="1" t="s">
        <v>31</v>
      </c>
      <c r="K5" s="1" t="s">
        <v>32</v>
      </c>
      <c r="O5" t="str">
        <f t="shared" si="2"/>
        <v>São PauloTV</v>
      </c>
    </row>
    <row r="6" spans="1:17" ht="26.25" x14ac:dyDescent="0.4">
      <c r="A6" s="1" t="s">
        <v>40</v>
      </c>
      <c r="B6" s="1" t="s">
        <v>30</v>
      </c>
      <c r="C6" s="1" t="s">
        <v>35</v>
      </c>
      <c r="D6" s="1">
        <v>280</v>
      </c>
      <c r="E6" s="1" t="s">
        <v>12</v>
      </c>
      <c r="F6" s="40"/>
      <c r="G6">
        <f t="shared" si="3"/>
        <v>98158</v>
      </c>
      <c r="H6" t="b">
        <f t="shared" si="1"/>
        <v>1</v>
      </c>
      <c r="I6" s="1" t="s">
        <v>37</v>
      </c>
      <c r="J6" s="1" t="s">
        <v>35</v>
      </c>
      <c r="K6" s="1" t="s">
        <v>32</v>
      </c>
      <c r="O6" t="str">
        <f t="shared" si="2"/>
        <v>CapivariMonitor</v>
      </c>
    </row>
    <row r="7" spans="1:17" ht="26.25" x14ac:dyDescent="0.4">
      <c r="A7" s="1" t="s">
        <v>41</v>
      </c>
      <c r="B7" s="1" t="s">
        <v>30</v>
      </c>
      <c r="C7" s="1" t="s">
        <v>31</v>
      </c>
      <c r="D7" s="1">
        <v>240</v>
      </c>
      <c r="E7" s="1" t="s">
        <v>12</v>
      </c>
      <c r="F7" s="40"/>
      <c r="G7">
        <f t="shared" si="3"/>
        <v>84500</v>
      </c>
      <c r="H7" t="b">
        <f t="shared" si="1"/>
        <v>1</v>
      </c>
      <c r="I7" s="1" t="s">
        <v>37</v>
      </c>
      <c r="J7" s="1" t="s">
        <v>38</v>
      </c>
      <c r="K7" s="1" t="s">
        <v>32</v>
      </c>
      <c r="O7" t="str">
        <f t="shared" si="2"/>
        <v>JacutingaMonitor</v>
      </c>
    </row>
    <row r="8" spans="1:17" ht="26.25" x14ac:dyDescent="0.4">
      <c r="A8" s="1" t="s">
        <v>42</v>
      </c>
      <c r="B8" s="1" t="s">
        <v>37</v>
      </c>
      <c r="C8" s="1" t="s">
        <v>38</v>
      </c>
      <c r="D8" s="1">
        <v>410</v>
      </c>
      <c r="E8" s="1" t="s">
        <v>12</v>
      </c>
      <c r="F8" s="40"/>
      <c r="G8">
        <f t="shared" si="3"/>
        <v>615250</v>
      </c>
      <c r="H8" t="b">
        <f t="shared" si="1"/>
        <v>1</v>
      </c>
      <c r="I8" s="1" t="s">
        <v>34</v>
      </c>
      <c r="J8" s="1" t="s">
        <v>31</v>
      </c>
      <c r="K8" s="1" t="s">
        <v>32</v>
      </c>
      <c r="M8">
        <f>VLOOKUP(B11,$A$14:$B$16,2,0)*D11</f>
        <v>147000</v>
      </c>
      <c r="O8" t="str">
        <f t="shared" si="2"/>
        <v>São PauloTV</v>
      </c>
    </row>
    <row r="9" spans="1:17" ht="26.25" x14ac:dyDescent="0.4">
      <c r="A9" s="1" t="s">
        <v>43</v>
      </c>
      <c r="B9" s="1" t="s">
        <v>37</v>
      </c>
      <c r="C9" s="1" t="s">
        <v>38</v>
      </c>
      <c r="D9" s="1">
        <v>380</v>
      </c>
      <c r="E9" s="1" t="s">
        <v>12</v>
      </c>
      <c r="F9" s="40"/>
      <c r="G9">
        <f t="shared" si="3"/>
        <v>570250</v>
      </c>
      <c r="H9" t="b">
        <f t="shared" si="1"/>
        <v>1</v>
      </c>
      <c r="I9" s="1" t="s">
        <v>34</v>
      </c>
      <c r="J9" s="1" t="s">
        <v>35</v>
      </c>
      <c r="K9" s="1" t="s">
        <v>32</v>
      </c>
      <c r="M9">
        <f>VLOOKUP(B2,$A$14:$B$16,2,0)*D2</f>
        <v>70350</v>
      </c>
      <c r="O9" t="str">
        <f t="shared" si="2"/>
        <v>São PauloTV</v>
      </c>
    </row>
    <row r="10" spans="1:17" ht="26.25" x14ac:dyDescent="0.4">
      <c r="A10" s="1" t="s">
        <v>44</v>
      </c>
      <c r="B10" s="1" t="s">
        <v>34</v>
      </c>
      <c r="C10" s="1" t="s">
        <v>35</v>
      </c>
      <c r="D10" s="1">
        <v>295</v>
      </c>
      <c r="E10" s="1" t="s">
        <v>12</v>
      </c>
      <c r="F10" s="40"/>
      <c r="G10">
        <f t="shared" si="3"/>
        <v>82758</v>
      </c>
      <c r="H10" t="b">
        <f t="shared" si="1"/>
        <v>1</v>
      </c>
      <c r="I10" s="1" t="s">
        <v>34</v>
      </c>
      <c r="J10" s="1" t="s">
        <v>38</v>
      </c>
      <c r="K10" s="1" t="s">
        <v>32</v>
      </c>
      <c r="O10" t="str">
        <f t="shared" si="2"/>
        <v>CapivariFogão</v>
      </c>
    </row>
    <row r="11" spans="1:17" ht="26.25" x14ac:dyDescent="0.4">
      <c r="A11" s="1" t="s">
        <v>45</v>
      </c>
      <c r="B11" s="1" t="s">
        <v>30</v>
      </c>
      <c r="C11" s="1" t="s">
        <v>38</v>
      </c>
      <c r="D11" s="1">
        <v>420</v>
      </c>
      <c r="E11" s="1" t="s">
        <v>12</v>
      </c>
      <c r="F11" s="40"/>
      <c r="G11">
        <f t="shared" si="3"/>
        <v>147250</v>
      </c>
      <c r="H11" t="b">
        <f t="shared" si="1"/>
        <v>1</v>
      </c>
    </row>
    <row r="12" spans="1:17" x14ac:dyDescent="0.25">
      <c r="H12" t="b">
        <f t="shared" ref="H12:H19" si="4">G12&gt;75000</f>
        <v>0</v>
      </c>
    </row>
    <row r="13" spans="1:17" x14ac:dyDescent="0.25">
      <c r="A13" s="52" t="s">
        <v>13</v>
      </c>
      <c r="B13" s="52"/>
      <c r="C13">
        <f>(VLOOKUP(B2,A14:B16,2,0)*D2+VLOOKUP(C2,E14:F16,2,0))</f>
        <v>70600</v>
      </c>
      <c r="E13" s="52" t="s">
        <v>46</v>
      </c>
      <c r="F13" s="52"/>
      <c r="G13">
        <f>(VLOOKUP(B2,$A$14:$B$16,2,0)*D2+IF(D2&gt;200,VLOOKUP(C2,$E$14:$F$16,2,0)+VLOOKUP(C2,$E$14:$F$16,2,0),VLOOKUP(C2,$E$14:$F$16,2,0)))</f>
        <v>70850</v>
      </c>
      <c r="H13" t="b">
        <f t="shared" si="4"/>
        <v>0</v>
      </c>
    </row>
    <row r="14" spans="1:17" x14ac:dyDescent="0.25">
      <c r="A14" s="1" t="s">
        <v>34</v>
      </c>
      <c r="B14" s="1">
        <v>280</v>
      </c>
      <c r="E14" s="1" t="s">
        <v>31</v>
      </c>
      <c r="F14" s="1">
        <v>250</v>
      </c>
      <c r="G14">
        <f t="shared" ref="G14:G19" si="5">(VLOOKUP(B3,$A$14:$B$16,2,0)*D3+IF(D3&gt;200,VLOOKUP(C3,$E$14:$F$16,2,0)+VLOOKUP(C3,$E$14:$F$16,2,0),VLOOKUP(C3,$E$14:$F$16,2,0)))</f>
        <v>84500</v>
      </c>
      <c r="H14" t="b">
        <f t="shared" si="4"/>
        <v>1</v>
      </c>
      <c r="I14">
        <f>VLOOKUP(B2,$A$14:$B$16,2,0)*D2+IF(D2&gt;200,D2*VLOOKUP(C2,$E$14:$F$16,2,0)+1,D2*VLOOKUP(C2,$E$14:$F$16,2,0))</f>
        <v>120601</v>
      </c>
    </row>
    <row r="15" spans="1:17" x14ac:dyDescent="0.25">
      <c r="A15" s="1" t="s">
        <v>37</v>
      </c>
      <c r="B15" s="1">
        <v>1500</v>
      </c>
      <c r="E15" s="1" t="s">
        <v>35</v>
      </c>
      <c r="F15" s="1">
        <v>79</v>
      </c>
      <c r="G15">
        <f t="shared" si="5"/>
        <v>375158</v>
      </c>
      <c r="H15" t="b">
        <f t="shared" si="4"/>
        <v>1</v>
      </c>
      <c r="I15">
        <f>VLOOKUP(B3,$A$14:$B$16,2,0)*D3+IF(D3&gt;200,D3*VLOOKUP(C3,$E$14:$F$16,2,0)+1,D3*VLOOKUP(C3,$E$14:$F$16,2,0))</f>
        <v>159001</v>
      </c>
      <c r="K15" t="b">
        <f>I15&gt;75000</f>
        <v>1</v>
      </c>
    </row>
    <row r="16" spans="1:17" x14ac:dyDescent="0.25">
      <c r="A16" s="1" t="s">
        <v>30</v>
      </c>
      <c r="B16" s="1">
        <v>350</v>
      </c>
      <c r="E16" s="1" t="s">
        <v>38</v>
      </c>
      <c r="F16" s="1">
        <v>125</v>
      </c>
      <c r="G16">
        <f>(VLOOKUP(B5,$A$14:$B$16,2,0)*D5+IF(D5&gt;200,VLOOKUP(C5,$E$14:$F$16,2,0)+VLOOKUP(C5,$E$14:$F$16,2,0),VLOOKUP(C5,$E$14:$F$16,2,0)))</f>
        <v>270125</v>
      </c>
      <c r="H16" t="b">
        <f t="shared" si="4"/>
        <v>1</v>
      </c>
    </row>
    <row r="17" spans="1:8" x14ac:dyDescent="0.25">
      <c r="G17">
        <f t="shared" si="5"/>
        <v>98158</v>
      </c>
      <c r="H17" t="b">
        <f t="shared" si="4"/>
        <v>1</v>
      </c>
    </row>
    <row r="18" spans="1:8" x14ac:dyDescent="0.25">
      <c r="G18">
        <f>(VLOOKUP(B7,$A$14:$B$16,2,0)*D7+IF(D7&gt;200,VLOOKUP(C7,$E$14:$F$16,2,0)+VLOOKUP(C7,$E$14:$F$16,2,0),VLOOKUP(C7,$E$14:$F$16,2,0)))</f>
        <v>84500</v>
      </c>
      <c r="H18" t="b">
        <f t="shared" si="4"/>
        <v>1</v>
      </c>
    </row>
    <row r="19" spans="1:8" x14ac:dyDescent="0.25">
      <c r="A19" t="s">
        <v>47</v>
      </c>
      <c r="G19">
        <f t="shared" si="5"/>
        <v>615250</v>
      </c>
      <c r="H19" t="b">
        <f t="shared" si="4"/>
        <v>1</v>
      </c>
    </row>
    <row r="20" spans="1:8" x14ac:dyDescent="0.25">
      <c r="A20" s="2" t="s">
        <v>90</v>
      </c>
    </row>
    <row r="21" spans="1:8" x14ac:dyDescent="0.25">
      <c r="A21" t="s">
        <v>91</v>
      </c>
    </row>
    <row r="22" spans="1:8" x14ac:dyDescent="0.25">
      <c r="A22" s="2" t="s">
        <v>92</v>
      </c>
    </row>
    <row r="23" spans="1:8" x14ac:dyDescent="0.25">
      <c r="A23" t="s">
        <v>96</v>
      </c>
    </row>
    <row r="28" spans="1:8" x14ac:dyDescent="0.25">
      <c r="E28" s="3"/>
    </row>
  </sheetData>
  <mergeCells count="3">
    <mergeCell ref="I1:K1"/>
    <mergeCell ref="A13:B13"/>
    <mergeCell ref="E13:F1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F73"/>
  <sheetViews>
    <sheetView workbookViewId="0">
      <selection activeCell="H22" sqref="H22"/>
    </sheetView>
  </sheetViews>
  <sheetFormatPr defaultRowHeight="15" x14ac:dyDescent="0.25"/>
  <cols>
    <col min="2" max="2" width="13" customWidth="1"/>
    <col min="3" max="3" width="14.7109375" customWidth="1"/>
    <col min="5" max="5" width="16.28515625" customWidth="1"/>
    <col min="6" max="6" width="11.140625" customWidth="1"/>
  </cols>
  <sheetData>
    <row r="1" spans="1:6" x14ac:dyDescent="0.25">
      <c r="A1" s="11" t="s">
        <v>24</v>
      </c>
      <c r="B1" s="11" t="s">
        <v>48</v>
      </c>
      <c r="C1" s="11" t="s">
        <v>49</v>
      </c>
      <c r="D1" s="11" t="s">
        <v>50</v>
      </c>
      <c r="E1" s="11" t="s">
        <v>51</v>
      </c>
      <c r="F1" s="11" t="s">
        <v>52</v>
      </c>
    </row>
    <row r="2" spans="1:6" x14ac:dyDescent="0.25">
      <c r="A2" s="1" t="s">
        <v>53</v>
      </c>
      <c r="B2" s="1" t="s">
        <v>54</v>
      </c>
      <c r="C2" s="1">
        <v>23</v>
      </c>
      <c r="D2" s="1" t="s">
        <v>55</v>
      </c>
      <c r="E2" s="1" t="s">
        <v>56</v>
      </c>
      <c r="F2" s="4">
        <v>3</v>
      </c>
    </row>
    <row r="3" spans="1:6" x14ac:dyDescent="0.25">
      <c r="A3" s="1" t="s">
        <v>57</v>
      </c>
      <c r="B3" s="1" t="s">
        <v>58</v>
      </c>
      <c r="C3" s="1">
        <v>42</v>
      </c>
      <c r="D3" s="1" t="s">
        <v>55</v>
      </c>
      <c r="E3" s="1" t="s">
        <v>56</v>
      </c>
      <c r="F3" s="4">
        <v>25</v>
      </c>
    </row>
    <row r="4" spans="1:6" x14ac:dyDescent="0.25">
      <c r="A4" s="1" t="s">
        <v>53</v>
      </c>
      <c r="B4" s="1" t="s">
        <v>54</v>
      </c>
      <c r="C4" s="1">
        <v>53</v>
      </c>
      <c r="D4" s="1" t="s">
        <v>59</v>
      </c>
      <c r="E4" s="1" t="s">
        <v>60</v>
      </c>
      <c r="F4" s="4">
        <v>26</v>
      </c>
    </row>
    <row r="5" spans="1:6" x14ac:dyDescent="0.25">
      <c r="A5" s="1" t="s">
        <v>57</v>
      </c>
      <c r="B5" s="1" t="s">
        <v>54</v>
      </c>
      <c r="C5" s="1">
        <v>64</v>
      </c>
      <c r="D5" s="1" t="s">
        <v>59</v>
      </c>
      <c r="E5" s="1" t="s">
        <v>56</v>
      </c>
      <c r="F5" s="4">
        <v>35</v>
      </c>
    </row>
    <row r="6" spans="1:6" x14ac:dyDescent="0.25">
      <c r="A6" s="1" t="s">
        <v>57</v>
      </c>
      <c r="B6" s="1" t="s">
        <v>58</v>
      </c>
      <c r="C6" s="1">
        <v>75</v>
      </c>
      <c r="D6" s="1" t="s">
        <v>59</v>
      </c>
      <c r="E6" s="1" t="s">
        <v>60</v>
      </c>
      <c r="F6" s="4">
        <v>25</v>
      </c>
    </row>
    <row r="7" spans="1:6" x14ac:dyDescent="0.25">
      <c r="A7" s="1" t="s">
        <v>61</v>
      </c>
      <c r="B7" s="1" t="s">
        <v>54</v>
      </c>
      <c r="C7" s="1">
        <v>86</v>
      </c>
      <c r="D7" s="1" t="s">
        <v>55</v>
      </c>
      <c r="E7" s="1" t="s">
        <v>56</v>
      </c>
      <c r="F7" s="4">
        <v>24</v>
      </c>
    </row>
    <row r="8" spans="1:6" x14ac:dyDescent="0.25">
      <c r="A8" s="1" t="s">
        <v>62</v>
      </c>
      <c r="B8" s="1" t="s">
        <v>54</v>
      </c>
      <c r="C8" s="1">
        <v>96</v>
      </c>
      <c r="D8" s="1" t="s">
        <v>59</v>
      </c>
      <c r="E8" s="1" t="s">
        <v>56</v>
      </c>
      <c r="F8" s="4">
        <v>26</v>
      </c>
    </row>
    <row r="9" spans="1:6" x14ac:dyDescent="0.25">
      <c r="A9" s="1" t="s">
        <v>61</v>
      </c>
      <c r="B9" s="1" t="s">
        <v>58</v>
      </c>
      <c r="C9" s="1">
        <v>45</v>
      </c>
      <c r="D9" s="1" t="s">
        <v>59</v>
      </c>
      <c r="E9" s="1" t="s">
        <v>60</v>
      </c>
      <c r="F9" s="4">
        <v>25</v>
      </c>
    </row>
    <row r="10" spans="1:6" x14ac:dyDescent="0.25">
      <c r="A10" s="1" t="s">
        <v>57</v>
      </c>
      <c r="B10" s="1" t="s">
        <v>54</v>
      </c>
      <c r="C10" s="1">
        <v>34</v>
      </c>
      <c r="D10" s="1" t="s">
        <v>55</v>
      </c>
      <c r="E10" s="1" t="s">
        <v>56</v>
      </c>
      <c r="F10" s="4">
        <v>34</v>
      </c>
    </row>
    <row r="11" spans="1:6" x14ac:dyDescent="0.25">
      <c r="A11" s="1" t="s">
        <v>61</v>
      </c>
      <c r="B11" s="1" t="s">
        <v>54</v>
      </c>
      <c r="C11" s="1">
        <v>23</v>
      </c>
      <c r="D11" s="1" t="s">
        <v>59</v>
      </c>
      <c r="E11" s="1" t="s">
        <v>56</v>
      </c>
      <c r="F11" s="4">
        <v>25</v>
      </c>
    </row>
    <row r="12" spans="1:6" x14ac:dyDescent="0.25">
      <c r="A12" s="1" t="s">
        <v>63</v>
      </c>
      <c r="B12" s="1" t="s">
        <v>54</v>
      </c>
      <c r="C12" s="1">
        <v>65</v>
      </c>
      <c r="D12" s="1" t="s">
        <v>59</v>
      </c>
      <c r="E12" s="1" t="s">
        <v>56</v>
      </c>
      <c r="F12" s="4">
        <v>24</v>
      </c>
    </row>
    <row r="13" spans="1:6" x14ac:dyDescent="0.25">
      <c r="A13" s="1" t="s">
        <v>64</v>
      </c>
      <c r="B13" s="1" t="s">
        <v>58</v>
      </c>
      <c r="C13" s="1">
        <v>75</v>
      </c>
      <c r="D13" s="1" t="s">
        <v>55</v>
      </c>
      <c r="E13" s="1" t="s">
        <v>60</v>
      </c>
      <c r="F13" s="4">
        <v>21</v>
      </c>
    </row>
    <row r="14" spans="1:6" x14ac:dyDescent="0.25">
      <c r="A14" s="1" t="s">
        <v>64</v>
      </c>
      <c r="B14" s="1" t="s">
        <v>58</v>
      </c>
      <c r="C14" s="1">
        <v>34</v>
      </c>
      <c r="D14" s="1" t="s">
        <v>59</v>
      </c>
      <c r="E14" s="1" t="s">
        <v>60</v>
      </c>
      <c r="F14" s="4">
        <v>31</v>
      </c>
    </row>
    <row r="15" spans="1:6" x14ac:dyDescent="0.25">
      <c r="A15" s="1" t="s">
        <v>64</v>
      </c>
      <c r="B15" s="1" t="s">
        <v>54</v>
      </c>
      <c r="C15" s="1">
        <v>65</v>
      </c>
      <c r="D15" s="1" t="s">
        <v>59</v>
      </c>
      <c r="E15" s="1" t="s">
        <v>60</v>
      </c>
      <c r="F15" s="4">
        <v>15</v>
      </c>
    </row>
    <row r="16" spans="1:6" x14ac:dyDescent="0.25">
      <c r="A16" s="1" t="s">
        <v>53</v>
      </c>
      <c r="B16" s="1" t="s">
        <v>58</v>
      </c>
      <c r="C16" s="1">
        <v>76</v>
      </c>
      <c r="D16" s="1" t="s">
        <v>55</v>
      </c>
      <c r="E16" s="1" t="s">
        <v>56</v>
      </c>
      <c r="F16" s="4">
        <v>19</v>
      </c>
    </row>
    <row r="17" spans="1:6" x14ac:dyDescent="0.25">
      <c r="A17" s="1" t="s">
        <v>53</v>
      </c>
      <c r="B17" s="1" t="s">
        <v>58</v>
      </c>
      <c r="C17" s="1">
        <v>43</v>
      </c>
      <c r="D17" s="1" t="s">
        <v>59</v>
      </c>
      <c r="E17" s="1" t="s">
        <v>56</v>
      </c>
      <c r="F17" s="4">
        <v>18</v>
      </c>
    </row>
    <row r="18" spans="1:6" x14ac:dyDescent="0.25">
      <c r="A18" s="1" t="s">
        <v>57</v>
      </c>
      <c r="B18" s="1" t="s">
        <v>58</v>
      </c>
      <c r="C18" s="1">
        <v>32</v>
      </c>
      <c r="D18" s="1" t="s">
        <v>55</v>
      </c>
      <c r="E18" s="1" t="s">
        <v>56</v>
      </c>
      <c r="F18" s="4">
        <v>22</v>
      </c>
    </row>
    <row r="19" spans="1:6" x14ac:dyDescent="0.25">
      <c r="A19" s="1" t="s">
        <v>57</v>
      </c>
      <c r="B19" s="1" t="s">
        <v>54</v>
      </c>
      <c r="C19" s="1">
        <v>98</v>
      </c>
      <c r="D19" s="1" t="s">
        <v>55</v>
      </c>
      <c r="E19" s="1" t="s">
        <v>56</v>
      </c>
      <c r="F19" s="4">
        <v>31</v>
      </c>
    </row>
    <row r="20" spans="1:6" x14ac:dyDescent="0.25">
      <c r="A20" s="1" t="s">
        <v>53</v>
      </c>
      <c r="B20" s="1" t="s">
        <v>54</v>
      </c>
      <c r="C20" s="1">
        <v>23</v>
      </c>
      <c r="D20" s="1" t="s">
        <v>55</v>
      </c>
      <c r="E20" s="1" t="s">
        <v>56</v>
      </c>
      <c r="F20" s="4">
        <v>3</v>
      </c>
    </row>
    <row r="21" spans="1:6" x14ac:dyDescent="0.25">
      <c r="A21" s="1" t="s">
        <v>57</v>
      </c>
      <c r="B21" s="1" t="s">
        <v>58</v>
      </c>
      <c r="C21" s="1">
        <v>42</v>
      </c>
      <c r="D21" s="1" t="s">
        <v>55</v>
      </c>
      <c r="E21" s="1" t="s">
        <v>56</v>
      </c>
      <c r="F21" s="4">
        <v>25</v>
      </c>
    </row>
    <row r="22" spans="1:6" x14ac:dyDescent="0.25">
      <c r="A22" s="1" t="s">
        <v>53</v>
      </c>
      <c r="B22" s="1" t="s">
        <v>54</v>
      </c>
      <c r="C22" s="1">
        <v>53</v>
      </c>
      <c r="D22" s="1" t="s">
        <v>59</v>
      </c>
      <c r="E22" s="1" t="s">
        <v>60</v>
      </c>
      <c r="F22" s="4">
        <v>26</v>
      </c>
    </row>
    <row r="23" spans="1:6" x14ac:dyDescent="0.25">
      <c r="A23" s="1" t="s">
        <v>57</v>
      </c>
      <c r="B23" s="1" t="s">
        <v>54</v>
      </c>
      <c r="C23" s="1">
        <v>64</v>
      </c>
      <c r="D23" s="1" t="s">
        <v>59</v>
      </c>
      <c r="E23" s="1" t="s">
        <v>56</v>
      </c>
      <c r="F23" s="4">
        <v>35</v>
      </c>
    </row>
    <row r="24" spans="1:6" x14ac:dyDescent="0.25">
      <c r="A24" s="1" t="s">
        <v>57</v>
      </c>
      <c r="B24" s="1" t="s">
        <v>58</v>
      </c>
      <c r="C24" s="1">
        <v>75</v>
      </c>
      <c r="D24" s="1" t="s">
        <v>59</v>
      </c>
      <c r="E24" s="1" t="s">
        <v>60</v>
      </c>
      <c r="F24" s="4">
        <v>25</v>
      </c>
    </row>
    <row r="25" spans="1:6" x14ac:dyDescent="0.25">
      <c r="A25" s="1" t="s">
        <v>61</v>
      </c>
      <c r="B25" s="1" t="s">
        <v>54</v>
      </c>
      <c r="C25" s="1">
        <v>86</v>
      </c>
      <c r="D25" s="1" t="s">
        <v>55</v>
      </c>
      <c r="E25" s="1" t="s">
        <v>56</v>
      </c>
      <c r="F25" s="4">
        <v>24</v>
      </c>
    </row>
    <row r="26" spans="1:6" x14ac:dyDescent="0.25">
      <c r="A26" s="1" t="s">
        <v>62</v>
      </c>
      <c r="B26" s="1" t="s">
        <v>54</v>
      </c>
      <c r="C26" s="1">
        <v>96</v>
      </c>
      <c r="D26" s="1" t="s">
        <v>59</v>
      </c>
      <c r="E26" s="1" t="s">
        <v>56</v>
      </c>
      <c r="F26" s="4">
        <v>26</v>
      </c>
    </row>
    <row r="27" spans="1:6" x14ac:dyDescent="0.25">
      <c r="A27" s="1" t="s">
        <v>61</v>
      </c>
      <c r="B27" s="1" t="s">
        <v>58</v>
      </c>
      <c r="C27" s="1">
        <v>45</v>
      </c>
      <c r="D27" s="1" t="s">
        <v>59</v>
      </c>
      <c r="E27" s="1" t="s">
        <v>60</v>
      </c>
      <c r="F27" s="4">
        <v>25</v>
      </c>
    </row>
    <row r="28" spans="1:6" x14ac:dyDescent="0.25">
      <c r="A28" s="1" t="s">
        <v>57</v>
      </c>
      <c r="B28" s="1" t="s">
        <v>54</v>
      </c>
      <c r="C28" s="1">
        <v>34</v>
      </c>
      <c r="D28" s="1" t="s">
        <v>55</v>
      </c>
      <c r="E28" s="1" t="s">
        <v>56</v>
      </c>
      <c r="F28" s="4">
        <v>34</v>
      </c>
    </row>
    <row r="29" spans="1:6" x14ac:dyDescent="0.25">
      <c r="A29" s="1" t="s">
        <v>61</v>
      </c>
      <c r="B29" s="1" t="s">
        <v>54</v>
      </c>
      <c r="C29" s="1">
        <v>23</v>
      </c>
      <c r="D29" s="1" t="s">
        <v>59</v>
      </c>
      <c r="E29" s="1" t="s">
        <v>56</v>
      </c>
      <c r="F29" s="4">
        <v>25</v>
      </c>
    </row>
    <row r="30" spans="1:6" x14ac:dyDescent="0.25">
      <c r="A30" s="1" t="s">
        <v>63</v>
      </c>
      <c r="B30" s="1" t="s">
        <v>54</v>
      </c>
      <c r="C30" s="1">
        <v>65</v>
      </c>
      <c r="D30" s="1" t="s">
        <v>59</v>
      </c>
      <c r="E30" s="1" t="s">
        <v>56</v>
      </c>
      <c r="F30" s="4">
        <v>24</v>
      </c>
    </row>
    <row r="31" spans="1:6" x14ac:dyDescent="0.25">
      <c r="A31" s="1" t="s">
        <v>64</v>
      </c>
      <c r="B31" s="1" t="s">
        <v>58</v>
      </c>
      <c r="C31" s="1">
        <v>75</v>
      </c>
      <c r="D31" s="1" t="s">
        <v>55</v>
      </c>
      <c r="E31" s="1" t="s">
        <v>60</v>
      </c>
      <c r="F31" s="4">
        <v>21</v>
      </c>
    </row>
    <row r="32" spans="1:6" x14ac:dyDescent="0.25">
      <c r="A32" s="1" t="s">
        <v>64</v>
      </c>
      <c r="B32" s="1" t="s">
        <v>58</v>
      </c>
      <c r="C32" s="1">
        <v>34</v>
      </c>
      <c r="D32" s="1" t="s">
        <v>59</v>
      </c>
      <c r="E32" s="1" t="s">
        <v>60</v>
      </c>
      <c r="F32" s="4">
        <v>31</v>
      </c>
    </row>
    <row r="33" spans="1:6" x14ac:dyDescent="0.25">
      <c r="A33" s="1" t="s">
        <v>64</v>
      </c>
      <c r="B33" s="1" t="s">
        <v>54</v>
      </c>
      <c r="C33" s="1">
        <v>65</v>
      </c>
      <c r="D33" s="1" t="s">
        <v>59</v>
      </c>
      <c r="E33" s="1" t="s">
        <v>60</v>
      </c>
      <c r="F33" s="4">
        <v>15</v>
      </c>
    </row>
    <row r="34" spans="1:6" x14ac:dyDescent="0.25">
      <c r="A34" s="1" t="s">
        <v>53</v>
      </c>
      <c r="B34" s="1" t="s">
        <v>58</v>
      </c>
      <c r="C34" s="1">
        <v>76</v>
      </c>
      <c r="D34" s="1" t="s">
        <v>55</v>
      </c>
      <c r="E34" s="1" t="s">
        <v>56</v>
      </c>
      <c r="F34" s="4">
        <v>19</v>
      </c>
    </row>
    <row r="35" spans="1:6" x14ac:dyDescent="0.25">
      <c r="A35" s="1" t="s">
        <v>53</v>
      </c>
      <c r="B35" s="1" t="s">
        <v>58</v>
      </c>
      <c r="C35" s="1">
        <v>43</v>
      </c>
      <c r="D35" s="1" t="s">
        <v>59</v>
      </c>
      <c r="E35" s="1" t="s">
        <v>56</v>
      </c>
      <c r="F35" s="4">
        <v>18</v>
      </c>
    </row>
    <row r="36" spans="1:6" x14ac:dyDescent="0.25">
      <c r="A36" s="1" t="s">
        <v>57</v>
      </c>
      <c r="B36" s="1" t="s">
        <v>58</v>
      </c>
      <c r="C36" s="1">
        <v>32</v>
      </c>
      <c r="D36" s="1" t="s">
        <v>55</v>
      </c>
      <c r="E36" s="1" t="s">
        <v>56</v>
      </c>
      <c r="F36" s="4">
        <v>22</v>
      </c>
    </row>
    <row r="37" spans="1:6" x14ac:dyDescent="0.25">
      <c r="A37" s="1" t="s">
        <v>57</v>
      </c>
      <c r="B37" s="1" t="s">
        <v>54</v>
      </c>
      <c r="C37" s="1">
        <v>98</v>
      </c>
      <c r="D37" s="1" t="s">
        <v>55</v>
      </c>
      <c r="E37" s="1" t="s">
        <v>56</v>
      </c>
      <c r="F37" s="4">
        <v>31</v>
      </c>
    </row>
    <row r="38" spans="1:6" x14ac:dyDescent="0.25">
      <c r="A38" s="1" t="s">
        <v>53</v>
      </c>
      <c r="B38" s="1" t="s">
        <v>54</v>
      </c>
      <c r="C38" s="1">
        <v>23</v>
      </c>
      <c r="D38" s="1" t="s">
        <v>55</v>
      </c>
      <c r="E38" s="1" t="s">
        <v>56</v>
      </c>
      <c r="F38" s="4">
        <v>3</v>
      </c>
    </row>
    <row r="39" spans="1:6" x14ac:dyDescent="0.25">
      <c r="A39" s="1" t="s">
        <v>57</v>
      </c>
      <c r="B39" s="1" t="s">
        <v>58</v>
      </c>
      <c r="C39" s="1">
        <v>42</v>
      </c>
      <c r="D39" s="1" t="s">
        <v>55</v>
      </c>
      <c r="E39" s="1" t="s">
        <v>56</v>
      </c>
      <c r="F39" s="4">
        <v>25</v>
      </c>
    </row>
    <row r="40" spans="1:6" x14ac:dyDescent="0.25">
      <c r="A40" s="1" t="s">
        <v>53</v>
      </c>
      <c r="B40" s="1" t="s">
        <v>54</v>
      </c>
      <c r="C40" s="1">
        <v>53</v>
      </c>
      <c r="D40" s="1" t="s">
        <v>59</v>
      </c>
      <c r="E40" s="1" t="s">
        <v>60</v>
      </c>
      <c r="F40" s="4">
        <v>26</v>
      </c>
    </row>
    <row r="41" spans="1:6" x14ac:dyDescent="0.25">
      <c r="A41" s="1" t="s">
        <v>57</v>
      </c>
      <c r="B41" s="1" t="s">
        <v>54</v>
      </c>
      <c r="C41" s="1">
        <v>64</v>
      </c>
      <c r="D41" s="1" t="s">
        <v>59</v>
      </c>
      <c r="E41" s="1" t="s">
        <v>56</v>
      </c>
      <c r="F41" s="4">
        <v>35</v>
      </c>
    </row>
    <row r="42" spans="1:6" x14ac:dyDescent="0.25">
      <c r="A42" s="1" t="s">
        <v>57</v>
      </c>
      <c r="B42" s="1" t="s">
        <v>58</v>
      </c>
      <c r="C42" s="1">
        <v>75</v>
      </c>
      <c r="D42" s="1" t="s">
        <v>59</v>
      </c>
      <c r="E42" s="1" t="s">
        <v>60</v>
      </c>
      <c r="F42" s="4">
        <v>25</v>
      </c>
    </row>
    <row r="43" spans="1:6" x14ac:dyDescent="0.25">
      <c r="A43" s="1" t="s">
        <v>61</v>
      </c>
      <c r="B43" s="1" t="s">
        <v>54</v>
      </c>
      <c r="C43" s="1">
        <v>86</v>
      </c>
      <c r="D43" s="1" t="s">
        <v>55</v>
      </c>
      <c r="E43" s="1" t="s">
        <v>56</v>
      </c>
      <c r="F43" s="4">
        <v>24</v>
      </c>
    </row>
    <row r="44" spans="1:6" x14ac:dyDescent="0.25">
      <c r="A44" s="1" t="s">
        <v>62</v>
      </c>
      <c r="B44" s="1" t="s">
        <v>54</v>
      </c>
      <c r="C44" s="1">
        <v>96</v>
      </c>
      <c r="D44" s="1" t="s">
        <v>59</v>
      </c>
      <c r="E44" s="1" t="s">
        <v>56</v>
      </c>
      <c r="F44" s="4">
        <v>26</v>
      </c>
    </row>
    <row r="45" spans="1:6" x14ac:dyDescent="0.25">
      <c r="A45" s="1" t="s">
        <v>61</v>
      </c>
      <c r="B45" s="1" t="s">
        <v>58</v>
      </c>
      <c r="C45" s="1">
        <v>45</v>
      </c>
      <c r="D45" s="1" t="s">
        <v>59</v>
      </c>
      <c r="E45" s="1" t="s">
        <v>60</v>
      </c>
      <c r="F45" s="4">
        <v>25</v>
      </c>
    </row>
    <row r="46" spans="1:6" x14ac:dyDescent="0.25">
      <c r="A46" s="1" t="s">
        <v>57</v>
      </c>
      <c r="B46" s="1" t="s">
        <v>54</v>
      </c>
      <c r="C46" s="1">
        <v>34</v>
      </c>
      <c r="D46" s="1" t="s">
        <v>55</v>
      </c>
      <c r="E46" s="1" t="s">
        <v>56</v>
      </c>
      <c r="F46" s="4">
        <v>34</v>
      </c>
    </row>
    <row r="47" spans="1:6" x14ac:dyDescent="0.25">
      <c r="A47" s="1" t="s">
        <v>61</v>
      </c>
      <c r="B47" s="1" t="s">
        <v>54</v>
      </c>
      <c r="C47" s="1">
        <v>23</v>
      </c>
      <c r="D47" s="1" t="s">
        <v>59</v>
      </c>
      <c r="E47" s="1" t="s">
        <v>56</v>
      </c>
      <c r="F47" s="4">
        <v>25</v>
      </c>
    </row>
    <row r="48" spans="1:6" x14ac:dyDescent="0.25">
      <c r="A48" s="1" t="s">
        <v>63</v>
      </c>
      <c r="B48" s="1" t="s">
        <v>54</v>
      </c>
      <c r="C48" s="1">
        <v>65</v>
      </c>
      <c r="D48" s="1" t="s">
        <v>59</v>
      </c>
      <c r="E48" s="1" t="s">
        <v>56</v>
      </c>
      <c r="F48" s="4">
        <v>24</v>
      </c>
    </row>
    <row r="49" spans="1:6" x14ac:dyDescent="0.25">
      <c r="A49" s="1" t="s">
        <v>64</v>
      </c>
      <c r="B49" s="1" t="s">
        <v>58</v>
      </c>
      <c r="C49" s="1">
        <v>75</v>
      </c>
      <c r="D49" s="1" t="s">
        <v>55</v>
      </c>
      <c r="E49" s="1" t="s">
        <v>60</v>
      </c>
      <c r="F49" s="4">
        <v>21</v>
      </c>
    </row>
    <row r="50" spans="1:6" x14ac:dyDescent="0.25">
      <c r="A50" s="1" t="s">
        <v>64</v>
      </c>
      <c r="B50" s="1" t="s">
        <v>58</v>
      </c>
      <c r="C50" s="1">
        <v>34</v>
      </c>
      <c r="D50" s="1" t="s">
        <v>59</v>
      </c>
      <c r="E50" s="1" t="s">
        <v>60</v>
      </c>
      <c r="F50" s="4">
        <v>31</v>
      </c>
    </row>
    <row r="51" spans="1:6" x14ac:dyDescent="0.25">
      <c r="A51" s="1" t="s">
        <v>64</v>
      </c>
      <c r="B51" s="1" t="s">
        <v>54</v>
      </c>
      <c r="C51" s="1">
        <v>65</v>
      </c>
      <c r="D51" s="1" t="s">
        <v>59</v>
      </c>
      <c r="E51" s="1" t="s">
        <v>60</v>
      </c>
      <c r="F51" s="4">
        <v>15</v>
      </c>
    </row>
    <row r="52" spans="1:6" x14ac:dyDescent="0.25">
      <c r="A52" s="1" t="s">
        <v>53</v>
      </c>
      <c r="B52" s="1" t="s">
        <v>58</v>
      </c>
      <c r="C52" s="1">
        <v>76</v>
      </c>
      <c r="D52" s="1" t="s">
        <v>55</v>
      </c>
      <c r="E52" s="1" t="s">
        <v>56</v>
      </c>
      <c r="F52" s="4">
        <v>19</v>
      </c>
    </row>
    <row r="53" spans="1:6" x14ac:dyDescent="0.25">
      <c r="A53" s="1" t="s">
        <v>53</v>
      </c>
      <c r="B53" s="1" t="s">
        <v>58</v>
      </c>
      <c r="C53" s="1">
        <v>43</v>
      </c>
      <c r="D53" s="1" t="s">
        <v>59</v>
      </c>
      <c r="E53" s="1" t="s">
        <v>56</v>
      </c>
      <c r="F53" s="4">
        <v>18</v>
      </c>
    </row>
    <row r="54" spans="1:6" x14ac:dyDescent="0.25">
      <c r="A54" s="1" t="s">
        <v>57</v>
      </c>
      <c r="B54" s="1" t="s">
        <v>58</v>
      </c>
      <c r="C54" s="1">
        <v>32</v>
      </c>
      <c r="D54" s="1" t="s">
        <v>55</v>
      </c>
      <c r="E54" s="1" t="s">
        <v>56</v>
      </c>
      <c r="F54" s="4">
        <v>22</v>
      </c>
    </row>
    <row r="55" spans="1:6" x14ac:dyDescent="0.25">
      <c r="A55" s="1" t="s">
        <v>57</v>
      </c>
      <c r="B55" s="1" t="s">
        <v>54</v>
      </c>
      <c r="C55" s="1">
        <v>98</v>
      </c>
      <c r="D55" s="1" t="s">
        <v>55</v>
      </c>
      <c r="E55" s="1" t="s">
        <v>56</v>
      </c>
      <c r="F55" s="4">
        <v>31</v>
      </c>
    </row>
    <row r="56" spans="1:6" x14ac:dyDescent="0.25">
      <c r="A56" s="1" t="s">
        <v>53</v>
      </c>
      <c r="B56" s="1" t="s">
        <v>54</v>
      </c>
      <c r="C56" s="1">
        <v>23</v>
      </c>
      <c r="D56" s="1" t="s">
        <v>55</v>
      </c>
      <c r="E56" s="1" t="s">
        <v>56</v>
      </c>
      <c r="F56" s="4">
        <v>3</v>
      </c>
    </row>
    <row r="57" spans="1:6" x14ac:dyDescent="0.25">
      <c r="A57" s="1" t="s">
        <v>57</v>
      </c>
      <c r="B57" s="1" t="s">
        <v>58</v>
      </c>
      <c r="C57" s="1">
        <v>42</v>
      </c>
      <c r="D57" s="1" t="s">
        <v>55</v>
      </c>
      <c r="E57" s="1" t="s">
        <v>56</v>
      </c>
      <c r="F57" s="4">
        <v>25</v>
      </c>
    </row>
    <row r="58" spans="1:6" x14ac:dyDescent="0.25">
      <c r="A58" s="1" t="s">
        <v>53</v>
      </c>
      <c r="B58" s="1" t="s">
        <v>54</v>
      </c>
      <c r="C58" s="1">
        <v>53</v>
      </c>
      <c r="D58" s="1" t="s">
        <v>59</v>
      </c>
      <c r="E58" s="1" t="s">
        <v>60</v>
      </c>
      <c r="F58" s="4">
        <v>26</v>
      </c>
    </row>
    <row r="59" spans="1:6" x14ac:dyDescent="0.25">
      <c r="A59" s="1" t="s">
        <v>57</v>
      </c>
      <c r="B59" s="1" t="s">
        <v>54</v>
      </c>
      <c r="C59" s="1">
        <v>64</v>
      </c>
      <c r="D59" s="1" t="s">
        <v>59</v>
      </c>
      <c r="E59" s="1" t="s">
        <v>56</v>
      </c>
      <c r="F59" s="4">
        <v>35</v>
      </c>
    </row>
    <row r="60" spans="1:6" x14ac:dyDescent="0.25">
      <c r="A60" s="1" t="s">
        <v>57</v>
      </c>
      <c r="B60" s="1" t="s">
        <v>58</v>
      </c>
      <c r="C60" s="1">
        <v>75</v>
      </c>
      <c r="D60" s="1" t="s">
        <v>59</v>
      </c>
      <c r="E60" s="1" t="s">
        <v>60</v>
      </c>
      <c r="F60" s="4">
        <v>25</v>
      </c>
    </row>
    <row r="61" spans="1:6" x14ac:dyDescent="0.25">
      <c r="A61" s="1" t="s">
        <v>61</v>
      </c>
      <c r="B61" s="1" t="s">
        <v>54</v>
      </c>
      <c r="C61" s="1">
        <v>86</v>
      </c>
      <c r="D61" s="1" t="s">
        <v>55</v>
      </c>
      <c r="E61" s="1" t="s">
        <v>56</v>
      </c>
      <c r="F61" s="4">
        <v>24</v>
      </c>
    </row>
    <row r="62" spans="1:6" x14ac:dyDescent="0.25">
      <c r="A62" s="1" t="s">
        <v>62</v>
      </c>
      <c r="B62" s="1" t="s">
        <v>54</v>
      </c>
      <c r="C62" s="1">
        <v>96</v>
      </c>
      <c r="D62" s="1" t="s">
        <v>59</v>
      </c>
      <c r="E62" s="1" t="s">
        <v>56</v>
      </c>
      <c r="F62" s="4">
        <v>26</v>
      </c>
    </row>
    <row r="63" spans="1:6" x14ac:dyDescent="0.25">
      <c r="A63" s="1" t="s">
        <v>61</v>
      </c>
      <c r="B63" s="1" t="s">
        <v>58</v>
      </c>
      <c r="C63" s="1">
        <v>45</v>
      </c>
      <c r="D63" s="1" t="s">
        <v>59</v>
      </c>
      <c r="E63" s="1" t="s">
        <v>60</v>
      </c>
      <c r="F63" s="4">
        <v>25</v>
      </c>
    </row>
    <row r="64" spans="1:6" x14ac:dyDescent="0.25">
      <c r="A64" s="1" t="s">
        <v>57</v>
      </c>
      <c r="B64" s="1" t="s">
        <v>54</v>
      </c>
      <c r="C64" s="1">
        <v>34</v>
      </c>
      <c r="D64" s="1" t="s">
        <v>55</v>
      </c>
      <c r="E64" s="1" t="s">
        <v>56</v>
      </c>
      <c r="F64" s="4">
        <v>34</v>
      </c>
    </row>
    <row r="65" spans="1:6" x14ac:dyDescent="0.25">
      <c r="A65" s="1" t="s">
        <v>61</v>
      </c>
      <c r="B65" s="1" t="s">
        <v>54</v>
      </c>
      <c r="C65" s="1">
        <v>23</v>
      </c>
      <c r="D65" s="1" t="s">
        <v>59</v>
      </c>
      <c r="E65" s="1" t="s">
        <v>56</v>
      </c>
      <c r="F65" s="4">
        <v>25</v>
      </c>
    </row>
    <row r="66" spans="1:6" x14ac:dyDescent="0.25">
      <c r="A66" s="1" t="s">
        <v>63</v>
      </c>
      <c r="B66" s="1" t="s">
        <v>54</v>
      </c>
      <c r="C66" s="1">
        <v>65</v>
      </c>
      <c r="D66" s="1" t="s">
        <v>59</v>
      </c>
      <c r="E66" s="1" t="s">
        <v>56</v>
      </c>
      <c r="F66" s="4">
        <v>24</v>
      </c>
    </row>
    <row r="67" spans="1:6" x14ac:dyDescent="0.25">
      <c r="A67" s="1" t="s">
        <v>64</v>
      </c>
      <c r="B67" s="1" t="s">
        <v>58</v>
      </c>
      <c r="C67" s="1">
        <v>75</v>
      </c>
      <c r="D67" s="1" t="s">
        <v>55</v>
      </c>
      <c r="E67" s="1" t="s">
        <v>60</v>
      </c>
      <c r="F67" s="4">
        <v>21</v>
      </c>
    </row>
    <row r="68" spans="1:6" x14ac:dyDescent="0.25">
      <c r="A68" s="1" t="s">
        <v>64</v>
      </c>
      <c r="B68" s="1" t="s">
        <v>58</v>
      </c>
      <c r="C68" s="1">
        <v>34</v>
      </c>
      <c r="D68" s="1" t="s">
        <v>59</v>
      </c>
      <c r="E68" s="1" t="s">
        <v>60</v>
      </c>
      <c r="F68" s="4">
        <v>31</v>
      </c>
    </row>
    <row r="69" spans="1:6" x14ac:dyDescent="0.25">
      <c r="A69" s="1" t="s">
        <v>64</v>
      </c>
      <c r="B69" s="1" t="s">
        <v>54</v>
      </c>
      <c r="C69" s="1">
        <v>65</v>
      </c>
      <c r="D69" s="1" t="s">
        <v>59</v>
      </c>
      <c r="E69" s="1" t="s">
        <v>60</v>
      </c>
      <c r="F69" s="4">
        <v>15</v>
      </c>
    </row>
    <row r="70" spans="1:6" x14ac:dyDescent="0.25">
      <c r="A70" s="1" t="s">
        <v>53</v>
      </c>
      <c r="B70" s="1" t="s">
        <v>58</v>
      </c>
      <c r="C70" s="1">
        <v>76</v>
      </c>
      <c r="D70" s="1" t="s">
        <v>55</v>
      </c>
      <c r="E70" s="1" t="s">
        <v>56</v>
      </c>
      <c r="F70" s="4">
        <v>19</v>
      </c>
    </row>
    <row r="71" spans="1:6" x14ac:dyDescent="0.25">
      <c r="A71" s="1" t="s">
        <v>53</v>
      </c>
      <c r="B71" s="1" t="s">
        <v>58</v>
      </c>
      <c r="C71" s="1">
        <v>43</v>
      </c>
      <c r="D71" s="1" t="s">
        <v>59</v>
      </c>
      <c r="E71" s="1" t="s">
        <v>56</v>
      </c>
      <c r="F71" s="4">
        <v>18</v>
      </c>
    </row>
    <row r="72" spans="1:6" x14ac:dyDescent="0.25">
      <c r="A72" s="1" t="s">
        <v>57</v>
      </c>
      <c r="B72" s="1" t="s">
        <v>58</v>
      </c>
      <c r="C72" s="1">
        <v>32</v>
      </c>
      <c r="D72" s="1" t="s">
        <v>55</v>
      </c>
      <c r="E72" s="1" t="s">
        <v>56</v>
      </c>
      <c r="F72" s="4">
        <v>22</v>
      </c>
    </row>
    <row r="73" spans="1:6" x14ac:dyDescent="0.25">
      <c r="A73" s="1" t="s">
        <v>57</v>
      </c>
      <c r="B73" s="1" t="s">
        <v>54</v>
      </c>
      <c r="C73" s="1">
        <v>98</v>
      </c>
      <c r="D73" s="1" t="s">
        <v>55</v>
      </c>
      <c r="E73" s="1" t="s">
        <v>56</v>
      </c>
      <c r="F73" s="4">
        <v>31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1"/>
  <sheetViews>
    <sheetView workbookViewId="0">
      <selection activeCell="J10" sqref="J10"/>
    </sheetView>
  </sheetViews>
  <sheetFormatPr defaultRowHeight="15" x14ac:dyDescent="0.25"/>
  <cols>
    <col min="1" max="1" width="18.42578125" customWidth="1"/>
    <col min="2" max="2" width="13.28515625" customWidth="1"/>
    <col min="7" max="7" width="15.5703125" customWidth="1"/>
  </cols>
  <sheetData>
    <row r="1" spans="1:10" ht="26.25" x14ac:dyDescent="0.4">
      <c r="A1" s="53" t="s">
        <v>65</v>
      </c>
      <c r="B1" s="53"/>
      <c r="C1" s="53"/>
      <c r="D1" s="53"/>
      <c r="E1" s="53"/>
      <c r="F1" s="53"/>
      <c r="G1" s="53"/>
    </row>
    <row r="3" spans="1:10" x14ac:dyDescent="0.25">
      <c r="A3" s="12" t="s">
        <v>66</v>
      </c>
      <c r="B3" s="12" t="s">
        <v>67</v>
      </c>
      <c r="C3" s="12" t="s">
        <v>68</v>
      </c>
      <c r="D3" s="12" t="s">
        <v>69</v>
      </c>
      <c r="E3" s="12" t="s">
        <v>70</v>
      </c>
      <c r="F3" s="12" t="s">
        <v>71</v>
      </c>
      <c r="G3" s="12" t="s">
        <v>72</v>
      </c>
    </row>
    <row r="4" spans="1:10" ht="15.75" x14ac:dyDescent="0.3">
      <c r="A4" s="5" t="s">
        <v>73</v>
      </c>
      <c r="B4" s="1">
        <v>10</v>
      </c>
      <c r="C4" s="1">
        <v>6</v>
      </c>
      <c r="D4" s="1">
        <v>8</v>
      </c>
      <c r="E4" s="1">
        <v>8</v>
      </c>
      <c r="F4" s="1">
        <v>9</v>
      </c>
      <c r="G4" s="13">
        <f>SUM(B4:F4)</f>
        <v>41</v>
      </c>
    </row>
    <row r="5" spans="1:10" ht="15.75" x14ac:dyDescent="0.3">
      <c r="A5" s="5" t="s">
        <v>74</v>
      </c>
      <c r="B5" s="1">
        <v>9</v>
      </c>
      <c r="C5" s="1">
        <v>7</v>
      </c>
      <c r="D5" s="1">
        <v>10</v>
      </c>
      <c r="E5" s="1">
        <v>9</v>
      </c>
      <c r="F5" s="1">
        <v>9</v>
      </c>
      <c r="G5" s="13">
        <f t="shared" ref="G5:G14" si="0">SUM(B5:F5)</f>
        <v>44</v>
      </c>
      <c r="J5">
        <f>LARGE(A3:G14,1)</f>
        <v>44</v>
      </c>
    </row>
    <row r="6" spans="1:10" ht="15.75" x14ac:dyDescent="0.3">
      <c r="A6" s="5" t="s">
        <v>75</v>
      </c>
      <c r="B6" s="1">
        <v>7</v>
      </c>
      <c r="C6" s="1">
        <v>8</v>
      </c>
      <c r="D6" s="1">
        <v>6</v>
      </c>
      <c r="E6" s="1">
        <v>8</v>
      </c>
      <c r="F6" s="1">
        <v>8</v>
      </c>
      <c r="G6" s="13">
        <f t="shared" si="0"/>
        <v>37</v>
      </c>
    </row>
    <row r="7" spans="1:10" ht="15.75" x14ac:dyDescent="0.3">
      <c r="A7" s="5" t="s">
        <v>76</v>
      </c>
      <c r="B7" s="1">
        <v>6</v>
      </c>
      <c r="C7" s="1">
        <v>9</v>
      </c>
      <c r="D7" s="1">
        <v>5</v>
      </c>
      <c r="E7" s="1">
        <v>8</v>
      </c>
      <c r="F7" s="1">
        <v>10</v>
      </c>
      <c r="G7" s="13">
        <f t="shared" si="0"/>
        <v>38</v>
      </c>
    </row>
    <row r="8" spans="1:10" ht="15.75" x14ac:dyDescent="0.3">
      <c r="A8" s="5" t="s">
        <v>77</v>
      </c>
      <c r="B8" s="1">
        <v>9</v>
      </c>
      <c r="C8" s="1">
        <v>5</v>
      </c>
      <c r="D8" s="1">
        <v>5</v>
      </c>
      <c r="E8" s="1">
        <v>8</v>
      </c>
      <c r="F8" s="1">
        <v>9</v>
      </c>
      <c r="G8" s="13">
        <f t="shared" si="0"/>
        <v>36</v>
      </c>
    </row>
    <row r="9" spans="1:10" ht="15.75" x14ac:dyDescent="0.3">
      <c r="A9" s="5" t="s">
        <v>78</v>
      </c>
      <c r="B9" s="1">
        <v>7</v>
      </c>
      <c r="C9" s="1">
        <v>4</v>
      </c>
      <c r="D9" s="1">
        <v>7</v>
      </c>
      <c r="E9" s="1">
        <v>7</v>
      </c>
      <c r="F9" s="1">
        <v>9</v>
      </c>
      <c r="G9" s="13">
        <f t="shared" si="0"/>
        <v>34</v>
      </c>
    </row>
    <row r="10" spans="1:10" ht="15.75" x14ac:dyDescent="0.3">
      <c r="A10" s="5" t="s">
        <v>79</v>
      </c>
      <c r="B10" s="1">
        <v>8</v>
      </c>
      <c r="C10" s="1">
        <v>6</v>
      </c>
      <c r="D10" s="1">
        <v>6</v>
      </c>
      <c r="E10" s="1">
        <v>8</v>
      </c>
      <c r="F10" s="1">
        <v>9</v>
      </c>
      <c r="G10" s="13">
        <f t="shared" si="0"/>
        <v>37</v>
      </c>
    </row>
    <row r="11" spans="1:10" ht="15.75" x14ac:dyDescent="0.3">
      <c r="A11" s="5" t="s">
        <v>80</v>
      </c>
      <c r="B11" s="1">
        <v>6</v>
      </c>
      <c r="C11" s="1">
        <v>7</v>
      </c>
      <c r="D11" s="1">
        <v>8</v>
      </c>
      <c r="E11" s="1">
        <v>7</v>
      </c>
      <c r="F11" s="1">
        <v>9</v>
      </c>
      <c r="G11" s="13">
        <f t="shared" si="0"/>
        <v>37</v>
      </c>
    </row>
    <row r="12" spans="1:10" ht="15.75" x14ac:dyDescent="0.3">
      <c r="A12" s="5" t="s">
        <v>81</v>
      </c>
      <c r="B12" s="1">
        <v>7</v>
      </c>
      <c r="C12" s="1">
        <v>8</v>
      </c>
      <c r="D12" s="1">
        <v>9</v>
      </c>
      <c r="E12" s="1">
        <v>9</v>
      </c>
      <c r="F12" s="1">
        <v>9</v>
      </c>
      <c r="G12" s="13">
        <f t="shared" si="0"/>
        <v>42</v>
      </c>
    </row>
    <row r="13" spans="1:10" ht="15.75" x14ac:dyDescent="0.3">
      <c r="A13" s="5" t="s">
        <v>82</v>
      </c>
      <c r="B13" s="1">
        <v>4</v>
      </c>
      <c r="C13" s="1">
        <v>4</v>
      </c>
      <c r="D13" s="1">
        <v>5</v>
      </c>
      <c r="E13" s="1">
        <v>9</v>
      </c>
      <c r="F13" s="1">
        <v>8</v>
      </c>
      <c r="G13" s="13">
        <f t="shared" si="0"/>
        <v>30</v>
      </c>
    </row>
    <row r="14" spans="1:10" ht="15.75" x14ac:dyDescent="0.3">
      <c r="A14" s="5" t="s">
        <v>83</v>
      </c>
      <c r="B14" s="1">
        <v>5</v>
      </c>
      <c r="C14" s="1">
        <v>7</v>
      </c>
      <c r="D14" s="1">
        <v>7</v>
      </c>
      <c r="E14" s="1">
        <v>8</v>
      </c>
      <c r="F14" s="1">
        <v>9</v>
      </c>
      <c r="G14" s="13">
        <f t="shared" si="0"/>
        <v>36</v>
      </c>
    </row>
    <row r="17" spans="1:5" ht="15.75" x14ac:dyDescent="0.3">
      <c r="A17" s="54" t="s">
        <v>84</v>
      </c>
      <c r="B17" s="54"/>
    </row>
    <row r="18" spans="1:5" ht="15.75" x14ac:dyDescent="0.3">
      <c r="A18" s="6" t="s">
        <v>85</v>
      </c>
      <c r="B18" s="13" t="str">
        <f>INDEX($A$4:$A$14,MATCH(LARGE($G$4:$G$14,1),$G$4:$G$14,0))</f>
        <v>ADAILSON</v>
      </c>
      <c r="E18" t="s">
        <v>86</v>
      </c>
    </row>
    <row r="19" spans="1:5" ht="15.75" x14ac:dyDescent="0.3">
      <c r="A19" s="6" t="s">
        <v>87</v>
      </c>
      <c r="B19" s="13" t="str">
        <f>INDEX($A$4:$A$14,MATCH(LARGE($G$4:$G$14,2),$G$4:$G$14,0))</f>
        <v>AGNALDO</v>
      </c>
    </row>
    <row r="20" spans="1:5" ht="15.75" x14ac:dyDescent="0.3">
      <c r="A20" s="6" t="s">
        <v>88</v>
      </c>
      <c r="B20" s="13" t="str">
        <f>INDEX($A$4:$A$14,MATCH(LARGE($G$4:$G$14,3),$G$4:$G$14,0))</f>
        <v>ABEL</v>
      </c>
      <c r="E20" t="s">
        <v>93</v>
      </c>
    </row>
    <row r="21" spans="1:5" ht="15.75" x14ac:dyDescent="0.3">
      <c r="A21" s="6" t="s">
        <v>89</v>
      </c>
      <c r="B21" s="13" t="str">
        <f>INDEX($A$4:$A$14,MATCH(SMALL($G$4:$G$14,1),$G$4:$G$14,0))</f>
        <v>ALEXANDRE</v>
      </c>
    </row>
  </sheetData>
  <mergeCells count="2">
    <mergeCell ref="A1:G1"/>
    <mergeCell ref="A17:B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rar_Botao">
                <anchor moveWithCells="1" sizeWithCells="1">
                  <from>
                    <xdr:col>13</xdr:col>
                    <xdr:colOff>104775</xdr:colOff>
                    <xdr:row>1</xdr:row>
                    <xdr:rowOff>9525</xdr:rowOff>
                  </from>
                  <to>
                    <xdr:col>14</xdr:col>
                    <xdr:colOff>438150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 sizeWithCells="1">
                  <from>
                    <xdr:col>13</xdr:col>
                    <xdr:colOff>38100</xdr:colOff>
                    <xdr:row>3</xdr:row>
                    <xdr:rowOff>161925</xdr:rowOff>
                  </from>
                  <to>
                    <xdr:col>14</xdr:col>
                    <xdr:colOff>581025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13</xdr:col>
                    <xdr:colOff>152400</xdr:colOff>
                    <xdr:row>7</xdr:row>
                    <xdr:rowOff>19050</xdr:rowOff>
                  </from>
                  <to>
                    <xdr:col>14</xdr:col>
                    <xdr:colOff>476250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E759"/>
  <sheetViews>
    <sheetView zoomScaleNormal="100" workbookViewId="0">
      <selection activeCell="D16" sqref="D16"/>
    </sheetView>
  </sheetViews>
  <sheetFormatPr defaultRowHeight="15" x14ac:dyDescent="0.25"/>
  <cols>
    <col min="1" max="1" width="19.28515625" customWidth="1"/>
    <col min="2" max="2" width="12.5703125" customWidth="1"/>
  </cols>
  <sheetData>
    <row r="1" spans="1:5" x14ac:dyDescent="0.25">
      <c r="A1" t="s">
        <v>97</v>
      </c>
      <c r="B1" t="s">
        <v>98</v>
      </c>
      <c r="E1" t="s">
        <v>99</v>
      </c>
    </row>
    <row r="2" spans="1:5" x14ac:dyDescent="0.25">
      <c r="A2" t="s">
        <v>100</v>
      </c>
      <c r="B2" t="s">
        <v>112</v>
      </c>
      <c r="E2" t="s">
        <v>101</v>
      </c>
    </row>
    <row r="3" spans="1:5" x14ac:dyDescent="0.25">
      <c r="A3" t="s">
        <v>102</v>
      </c>
      <c r="B3" t="s">
        <v>196</v>
      </c>
    </row>
    <row r="4" spans="1:5" x14ac:dyDescent="0.25">
      <c r="A4" t="s">
        <v>103</v>
      </c>
      <c r="B4" t="s">
        <v>111</v>
      </c>
      <c r="E4" t="s">
        <v>104</v>
      </c>
    </row>
    <row r="5" spans="1:5" x14ac:dyDescent="0.25">
      <c r="A5" t="s">
        <v>11</v>
      </c>
      <c r="B5">
        <f>IF(B1=B2,"Destino ou origem incorretos. Favor verificar.",IF(B4=P19,IF(B3&lt;&gt;"Conveniado",VLOOKUP(B1,P21:AB33,MATCH(B2,P22:P33,0)+1,0)*1.02),VLOOKUP(B1,P21:AB33,MATCH(B2,P22:P33,0)+1,0)*1.02*88%))</f>
        <v>1317.84</v>
      </c>
      <c r="C5" t="s">
        <v>210</v>
      </c>
      <c r="E5" t="s">
        <v>105</v>
      </c>
    </row>
    <row r="6" spans="1:5" x14ac:dyDescent="0.25">
      <c r="E6" t="s">
        <v>106</v>
      </c>
    </row>
    <row r="7" spans="1:5" x14ac:dyDescent="0.25">
      <c r="B7" t="str">
        <f>IF(1&lt;&gt;1,"S","N")</f>
        <v>N</v>
      </c>
      <c r="E7" t="s">
        <v>107</v>
      </c>
    </row>
    <row r="8" spans="1:5" x14ac:dyDescent="0.25">
      <c r="E8" t="s">
        <v>108</v>
      </c>
    </row>
    <row r="9" spans="1:5" x14ac:dyDescent="0.25">
      <c r="E9" t="s">
        <v>109</v>
      </c>
    </row>
    <row r="12" spans="1:5" x14ac:dyDescent="0.25">
      <c r="A12" t="s">
        <v>208</v>
      </c>
    </row>
    <row r="13" spans="1:5" x14ac:dyDescent="0.25">
      <c r="B13">
        <f>MATCH(B1,B21:AB21,0)</f>
        <v>6</v>
      </c>
    </row>
    <row r="19" spans="2:31" x14ac:dyDescent="0.25">
      <c r="B19" t="s">
        <v>110</v>
      </c>
      <c r="P19" t="s">
        <v>111</v>
      </c>
      <c r="AD19" t="s">
        <v>209</v>
      </c>
    </row>
    <row r="21" spans="2:31" ht="22.5" x14ac:dyDescent="0.25">
      <c r="C21" s="14" t="s">
        <v>112</v>
      </c>
      <c r="D21" s="14" t="s">
        <v>113</v>
      </c>
      <c r="E21" s="14" t="s">
        <v>114</v>
      </c>
      <c r="F21" s="14" t="s">
        <v>115</v>
      </c>
      <c r="G21" s="14" t="s">
        <v>98</v>
      </c>
      <c r="H21" s="14" t="s">
        <v>116</v>
      </c>
      <c r="I21" s="14" t="s">
        <v>117</v>
      </c>
      <c r="J21" s="14" t="s">
        <v>118</v>
      </c>
      <c r="K21" s="14" t="s">
        <v>119</v>
      </c>
      <c r="L21" s="14" t="s">
        <v>120</v>
      </c>
      <c r="M21" s="14" t="s">
        <v>121</v>
      </c>
      <c r="N21" s="14" t="s">
        <v>122</v>
      </c>
      <c r="Q21" s="14" t="s">
        <v>112</v>
      </c>
      <c r="R21" s="14" t="s">
        <v>113</v>
      </c>
      <c r="S21" s="14" t="s">
        <v>114</v>
      </c>
      <c r="T21" s="14" t="s">
        <v>115</v>
      </c>
      <c r="U21" s="14" t="s">
        <v>98</v>
      </c>
      <c r="V21" s="14" t="s">
        <v>116</v>
      </c>
      <c r="W21" s="14" t="s">
        <v>117</v>
      </c>
      <c r="X21" s="14" t="s">
        <v>118</v>
      </c>
      <c r="Y21" s="14" t="s">
        <v>119</v>
      </c>
      <c r="Z21" s="14" t="s">
        <v>120</v>
      </c>
      <c r="AA21" s="14" t="s">
        <v>121</v>
      </c>
      <c r="AB21" s="14" t="s">
        <v>122</v>
      </c>
      <c r="AD21" s="15" t="s">
        <v>112</v>
      </c>
      <c r="AE21" s="16">
        <v>1</v>
      </c>
    </row>
    <row r="22" spans="2:31" x14ac:dyDescent="0.25">
      <c r="B22" s="14" t="s">
        <v>112</v>
      </c>
      <c r="C22" s="17">
        <v>0</v>
      </c>
      <c r="D22" s="18">
        <v>2079</v>
      </c>
      <c r="E22" s="18">
        <v>1578</v>
      </c>
      <c r="F22" s="18">
        <v>6000</v>
      </c>
      <c r="G22" s="18">
        <v>1652</v>
      </c>
      <c r="H22" s="18">
        <v>2765</v>
      </c>
      <c r="I22" s="18">
        <v>2775</v>
      </c>
      <c r="J22" s="18">
        <v>2595</v>
      </c>
      <c r="K22" s="18">
        <v>2892</v>
      </c>
      <c r="L22" s="18">
        <v>1183</v>
      </c>
      <c r="M22" s="18">
        <v>1848</v>
      </c>
      <c r="N22" s="19">
        <v>611</v>
      </c>
      <c r="P22" s="14" t="s">
        <v>112</v>
      </c>
      <c r="Q22" s="17">
        <v>0</v>
      </c>
      <c r="R22" s="20">
        <v>1641</v>
      </c>
      <c r="S22" s="20">
        <v>1248</v>
      </c>
      <c r="T22" s="20">
        <v>3022</v>
      </c>
      <c r="U22" s="20">
        <v>1292</v>
      </c>
      <c r="V22" s="20">
        <v>2155</v>
      </c>
      <c r="W22" s="20">
        <v>2121</v>
      </c>
      <c r="X22" s="20">
        <v>2061</v>
      </c>
      <c r="Y22" s="20">
        <v>2207</v>
      </c>
      <c r="Z22" s="21">
        <v>815</v>
      </c>
      <c r="AA22" s="20">
        <v>1461</v>
      </c>
      <c r="AB22" s="21">
        <v>486</v>
      </c>
      <c r="AD22" s="15" t="s">
        <v>113</v>
      </c>
      <c r="AE22" s="16">
        <v>2</v>
      </c>
    </row>
    <row r="23" spans="2:31" ht="22.5" x14ac:dyDescent="0.25">
      <c r="B23" s="14" t="s">
        <v>113</v>
      </c>
      <c r="C23" s="18">
        <v>2079</v>
      </c>
      <c r="D23" s="17">
        <v>0</v>
      </c>
      <c r="E23" s="18">
        <v>2824</v>
      </c>
      <c r="F23" s="18">
        <v>6083</v>
      </c>
      <c r="G23" s="18">
        <v>2120</v>
      </c>
      <c r="H23" s="18">
        <v>2942</v>
      </c>
      <c r="I23" s="18">
        <v>2941</v>
      </c>
      <c r="J23" s="18">
        <v>3193</v>
      </c>
      <c r="K23" s="18">
        <v>3500</v>
      </c>
      <c r="L23" s="18">
        <v>1610</v>
      </c>
      <c r="M23" s="18">
        <v>2017</v>
      </c>
      <c r="N23" s="18">
        <v>2161</v>
      </c>
      <c r="P23" s="14" t="s">
        <v>113</v>
      </c>
      <c r="Q23" s="20">
        <v>1641</v>
      </c>
      <c r="R23" s="17">
        <v>0</v>
      </c>
      <c r="S23" s="20">
        <v>2111</v>
      </c>
      <c r="T23" s="20">
        <v>1432</v>
      </c>
      <c r="U23" s="20">
        <v>1592</v>
      </c>
      <c r="V23" s="20">
        <v>2212</v>
      </c>
      <c r="W23" s="20">
        <v>1778</v>
      </c>
      <c r="X23" s="20">
        <v>2665</v>
      </c>
      <c r="Y23" s="20">
        <v>2904</v>
      </c>
      <c r="Z23" s="20">
        <v>1133</v>
      </c>
      <c r="AA23" s="20">
        <v>1693</v>
      </c>
      <c r="AB23" s="20">
        <v>1636</v>
      </c>
      <c r="AD23" s="15" t="s">
        <v>123</v>
      </c>
      <c r="AE23" s="22">
        <v>3</v>
      </c>
    </row>
    <row r="24" spans="2:31" ht="22.5" x14ac:dyDescent="0.25">
      <c r="B24" s="14" t="s">
        <v>114</v>
      </c>
      <c r="C24" s="18">
        <v>1578</v>
      </c>
      <c r="D24" s="18">
        <v>2824</v>
      </c>
      <c r="E24" s="17">
        <v>0</v>
      </c>
      <c r="F24" s="18">
        <v>4736</v>
      </c>
      <c r="G24" s="19">
        <v>716</v>
      </c>
      <c r="H24" s="18">
        <v>1453</v>
      </c>
      <c r="I24" s="18">
        <v>1594</v>
      </c>
      <c r="J24" s="18">
        <v>1004</v>
      </c>
      <c r="K24" s="18">
        <v>1301</v>
      </c>
      <c r="L24" s="18">
        <v>2528</v>
      </c>
      <c r="M24" s="19">
        <v>906</v>
      </c>
      <c r="N24" s="18">
        <v>2171</v>
      </c>
      <c r="P24" s="14" t="s">
        <v>114</v>
      </c>
      <c r="Q24" s="20">
        <v>1248</v>
      </c>
      <c r="R24" s="20">
        <v>2111</v>
      </c>
      <c r="S24" s="17">
        <v>0</v>
      </c>
      <c r="T24" s="20">
        <v>3117</v>
      </c>
      <c r="U24" s="21">
        <v>624</v>
      </c>
      <c r="V24" s="20">
        <v>1118</v>
      </c>
      <c r="W24" s="20">
        <v>1372</v>
      </c>
      <c r="X24" s="21">
        <v>820</v>
      </c>
      <c r="Y24" s="21">
        <v>973</v>
      </c>
      <c r="Z24" s="20">
        <v>1893</v>
      </c>
      <c r="AA24" s="21">
        <v>666</v>
      </c>
      <c r="AB24" s="20">
        <v>1726</v>
      </c>
      <c r="AD24" s="15" t="s">
        <v>115</v>
      </c>
      <c r="AE24" s="16">
        <v>4</v>
      </c>
    </row>
    <row r="25" spans="2:31" x14ac:dyDescent="0.25">
      <c r="B25" s="14" t="s">
        <v>115</v>
      </c>
      <c r="C25" s="18">
        <v>6000</v>
      </c>
      <c r="D25" s="18">
        <v>6083</v>
      </c>
      <c r="E25" s="18">
        <v>4736</v>
      </c>
      <c r="F25" s="17">
        <v>0</v>
      </c>
      <c r="G25" s="18">
        <v>4275</v>
      </c>
      <c r="H25" s="18">
        <v>3836</v>
      </c>
      <c r="I25" s="18">
        <v>3142</v>
      </c>
      <c r="J25" s="18">
        <v>4821</v>
      </c>
      <c r="K25" s="18">
        <v>5128</v>
      </c>
      <c r="L25" s="18">
        <v>6548</v>
      </c>
      <c r="M25" s="18">
        <v>4076</v>
      </c>
      <c r="N25" s="18">
        <v>6593</v>
      </c>
      <c r="P25" s="14" t="s">
        <v>115</v>
      </c>
      <c r="Q25" s="20">
        <v>3022</v>
      </c>
      <c r="R25" s="20">
        <v>1432</v>
      </c>
      <c r="S25" s="20">
        <v>3117</v>
      </c>
      <c r="T25" s="17">
        <v>0</v>
      </c>
      <c r="U25" s="20">
        <v>2496</v>
      </c>
      <c r="V25" s="20">
        <v>2667</v>
      </c>
      <c r="W25" s="20">
        <v>2107</v>
      </c>
      <c r="X25" s="20">
        <v>3370</v>
      </c>
      <c r="Y25" s="20">
        <v>3620</v>
      </c>
      <c r="Z25" s="20">
        <v>2562</v>
      </c>
      <c r="AA25" s="20">
        <v>2503</v>
      </c>
      <c r="AB25" s="20">
        <v>3067</v>
      </c>
      <c r="AD25" s="15" t="s">
        <v>98</v>
      </c>
      <c r="AE25" s="22">
        <v>5</v>
      </c>
    </row>
    <row r="26" spans="2:31" ht="22.5" x14ac:dyDescent="0.25">
      <c r="B26" s="14" t="s">
        <v>98</v>
      </c>
      <c r="C26" s="18">
        <v>1652</v>
      </c>
      <c r="D26" s="18">
        <v>2120</v>
      </c>
      <c r="E26" s="19">
        <v>716</v>
      </c>
      <c r="F26" s="18">
        <v>4275</v>
      </c>
      <c r="G26" s="17">
        <v>0</v>
      </c>
      <c r="H26" s="18">
        <v>1134</v>
      </c>
      <c r="I26" s="18">
        <v>1133</v>
      </c>
      <c r="J26" s="18">
        <v>1366</v>
      </c>
      <c r="K26" s="18">
        <v>1673</v>
      </c>
      <c r="L26" s="18">
        <v>2200</v>
      </c>
      <c r="M26" s="19">
        <v>209</v>
      </c>
      <c r="N26" s="18">
        <v>2245</v>
      </c>
      <c r="P26" s="14" t="s">
        <v>98</v>
      </c>
      <c r="Q26" s="20">
        <v>1292</v>
      </c>
      <c r="R26" s="20">
        <v>1592</v>
      </c>
      <c r="S26" s="21">
        <v>624</v>
      </c>
      <c r="T26" s="20">
        <v>2496</v>
      </c>
      <c r="U26" s="17">
        <v>0</v>
      </c>
      <c r="V26" s="21">
        <v>878</v>
      </c>
      <c r="W26" s="21">
        <v>873</v>
      </c>
      <c r="X26" s="20">
        <v>1081</v>
      </c>
      <c r="Y26" s="20">
        <v>1314</v>
      </c>
      <c r="Z26" s="20">
        <v>1687</v>
      </c>
      <c r="AA26" s="21">
        <v>173</v>
      </c>
      <c r="AB26" s="20">
        <v>1716</v>
      </c>
      <c r="AD26" s="15" t="s">
        <v>124</v>
      </c>
      <c r="AE26" s="16">
        <v>6</v>
      </c>
    </row>
    <row r="27" spans="2:31" ht="22.5" x14ac:dyDescent="0.25">
      <c r="B27" s="14" t="s">
        <v>116</v>
      </c>
      <c r="C27" s="18">
        <v>2765</v>
      </c>
      <c r="D27" s="18">
        <v>2942</v>
      </c>
      <c r="E27" s="18">
        <v>1453</v>
      </c>
      <c r="F27" s="18">
        <v>3836</v>
      </c>
      <c r="G27" s="18">
        <v>1134</v>
      </c>
      <c r="H27" s="17">
        <v>0</v>
      </c>
      <c r="I27" s="19">
        <v>694</v>
      </c>
      <c r="J27" s="19">
        <v>991</v>
      </c>
      <c r="K27" s="18">
        <v>1298</v>
      </c>
      <c r="L27" s="18">
        <v>3407</v>
      </c>
      <c r="M27" s="19">
        <v>935</v>
      </c>
      <c r="N27" s="18">
        <v>3357</v>
      </c>
      <c r="P27" s="14" t="s">
        <v>116</v>
      </c>
      <c r="Q27" s="20">
        <v>2155</v>
      </c>
      <c r="R27" s="20">
        <v>2212</v>
      </c>
      <c r="S27" s="20">
        <v>1118</v>
      </c>
      <c r="T27" s="20">
        <v>2667</v>
      </c>
      <c r="U27" s="21">
        <v>878</v>
      </c>
      <c r="V27" s="17">
        <v>0</v>
      </c>
      <c r="W27" s="21">
        <v>559</v>
      </c>
      <c r="X27" s="21">
        <v>780</v>
      </c>
      <c r="Y27" s="20">
        <v>1007</v>
      </c>
      <c r="Z27" s="20">
        <v>2547</v>
      </c>
      <c r="AA27" s="21">
        <v>705</v>
      </c>
      <c r="AB27" s="20">
        <v>2593</v>
      </c>
      <c r="AD27" s="15" t="s">
        <v>117</v>
      </c>
      <c r="AE27" s="23">
        <v>7</v>
      </c>
    </row>
    <row r="28" spans="2:31" x14ac:dyDescent="0.25">
      <c r="B28" s="14" t="s">
        <v>117</v>
      </c>
      <c r="C28" s="18">
        <v>2775</v>
      </c>
      <c r="D28" s="18">
        <v>2941</v>
      </c>
      <c r="E28" s="18">
        <v>1594</v>
      </c>
      <c r="F28" s="18">
        <v>3142</v>
      </c>
      <c r="G28" s="18">
        <v>1133</v>
      </c>
      <c r="H28" s="19">
        <v>694</v>
      </c>
      <c r="I28" s="17">
        <v>0</v>
      </c>
      <c r="J28" s="18">
        <v>1679</v>
      </c>
      <c r="K28" s="18">
        <v>1986</v>
      </c>
      <c r="L28" s="18">
        <v>3406</v>
      </c>
      <c r="M28" s="19">
        <v>934</v>
      </c>
      <c r="N28" s="18">
        <v>3366</v>
      </c>
      <c r="P28" s="14" t="s">
        <v>117</v>
      </c>
      <c r="Q28" s="20">
        <v>2121</v>
      </c>
      <c r="R28" s="20">
        <v>1778</v>
      </c>
      <c r="S28" s="20">
        <v>1372</v>
      </c>
      <c r="T28" s="20">
        <v>2107</v>
      </c>
      <c r="U28" s="21">
        <v>873</v>
      </c>
      <c r="V28" s="21">
        <v>559</v>
      </c>
      <c r="W28" s="17">
        <v>0</v>
      </c>
      <c r="X28" s="20">
        <v>1302</v>
      </c>
      <c r="Y28" s="20">
        <v>1543</v>
      </c>
      <c r="Z28" s="20">
        <v>2329</v>
      </c>
      <c r="AA28" s="21">
        <v>740</v>
      </c>
      <c r="AB28" s="20">
        <v>2495</v>
      </c>
      <c r="AD28" s="15" t="s">
        <v>118</v>
      </c>
      <c r="AE28" s="16">
        <v>8</v>
      </c>
    </row>
    <row r="29" spans="2:31" ht="22.5" x14ac:dyDescent="0.25">
      <c r="B29" s="14" t="s">
        <v>118</v>
      </c>
      <c r="C29" s="18">
        <v>2595</v>
      </c>
      <c r="D29" s="18">
        <v>3193</v>
      </c>
      <c r="E29" s="18">
        <v>1004</v>
      </c>
      <c r="F29" s="18">
        <v>4821</v>
      </c>
      <c r="G29" s="18">
        <v>1366</v>
      </c>
      <c r="H29" s="19">
        <v>991</v>
      </c>
      <c r="I29" s="18">
        <v>1679</v>
      </c>
      <c r="J29" s="17">
        <v>0</v>
      </c>
      <c r="K29" s="19">
        <v>300</v>
      </c>
      <c r="L29" s="18">
        <v>3541</v>
      </c>
      <c r="M29" s="18">
        <v>1186</v>
      </c>
      <c r="N29" s="18">
        <v>3188</v>
      </c>
      <c r="P29" s="14" t="s">
        <v>118</v>
      </c>
      <c r="Q29" s="20">
        <v>2061</v>
      </c>
      <c r="R29" s="20">
        <v>2665</v>
      </c>
      <c r="S29" s="21">
        <v>820</v>
      </c>
      <c r="T29" s="20">
        <v>3370</v>
      </c>
      <c r="U29" s="20">
        <v>1081</v>
      </c>
      <c r="V29" s="21">
        <v>780</v>
      </c>
      <c r="W29" s="20">
        <v>1302</v>
      </c>
      <c r="X29" s="17">
        <v>0</v>
      </c>
      <c r="Y29" s="21">
        <v>251</v>
      </c>
      <c r="Z29" s="20">
        <v>2670</v>
      </c>
      <c r="AA29" s="21">
        <v>972</v>
      </c>
      <c r="AB29" s="20">
        <v>2545</v>
      </c>
      <c r="AD29" s="15" t="s">
        <v>119</v>
      </c>
      <c r="AE29" s="23">
        <v>9</v>
      </c>
    </row>
    <row r="30" spans="2:31" ht="22.5" x14ac:dyDescent="0.25">
      <c r="B30" s="14" t="s">
        <v>119</v>
      </c>
      <c r="C30" s="18">
        <v>2892</v>
      </c>
      <c r="D30" s="18">
        <v>3500</v>
      </c>
      <c r="E30" s="18">
        <v>1301</v>
      </c>
      <c r="F30" s="18">
        <v>5128</v>
      </c>
      <c r="G30" s="18">
        <v>1673</v>
      </c>
      <c r="H30" s="18">
        <v>1298</v>
      </c>
      <c r="I30" s="18">
        <v>1986</v>
      </c>
      <c r="J30" s="19">
        <v>300</v>
      </c>
      <c r="K30" s="17">
        <v>0</v>
      </c>
      <c r="L30" s="18">
        <v>3838</v>
      </c>
      <c r="M30" s="18">
        <v>1493</v>
      </c>
      <c r="N30" s="18">
        <v>3485</v>
      </c>
      <c r="P30" s="14" t="s">
        <v>119</v>
      </c>
      <c r="Q30" s="20">
        <v>2207</v>
      </c>
      <c r="R30" s="20">
        <v>2904</v>
      </c>
      <c r="S30" s="21">
        <v>973</v>
      </c>
      <c r="T30" s="20">
        <v>3620</v>
      </c>
      <c r="U30" s="20">
        <v>1314</v>
      </c>
      <c r="V30" s="20">
        <v>1007</v>
      </c>
      <c r="W30" s="20">
        <v>1543</v>
      </c>
      <c r="X30" s="21">
        <v>251</v>
      </c>
      <c r="Y30" s="17">
        <v>0</v>
      </c>
      <c r="Z30" s="20">
        <v>2857</v>
      </c>
      <c r="AA30" s="20">
        <v>1215</v>
      </c>
      <c r="AB30" s="20">
        <v>2693</v>
      </c>
      <c r="AD30" s="15" t="s">
        <v>120</v>
      </c>
      <c r="AE30" s="22">
        <v>10</v>
      </c>
    </row>
    <row r="31" spans="2:31" x14ac:dyDescent="0.25">
      <c r="B31" s="14" t="s">
        <v>120</v>
      </c>
      <c r="C31" s="18">
        <v>1183</v>
      </c>
      <c r="D31" s="18">
        <v>1610</v>
      </c>
      <c r="E31" s="18">
        <v>2528</v>
      </c>
      <c r="F31" s="18">
        <v>6548</v>
      </c>
      <c r="G31" s="18">
        <v>2200</v>
      </c>
      <c r="H31" s="18">
        <v>3407</v>
      </c>
      <c r="I31" s="18">
        <v>3406</v>
      </c>
      <c r="J31" s="18">
        <v>3541</v>
      </c>
      <c r="K31" s="18">
        <v>3838</v>
      </c>
      <c r="L31" s="17">
        <v>0</v>
      </c>
      <c r="M31" s="18">
        <v>2482</v>
      </c>
      <c r="N31" s="19">
        <v>688</v>
      </c>
      <c r="P31" s="14" t="s">
        <v>120</v>
      </c>
      <c r="Q31" s="21">
        <v>815</v>
      </c>
      <c r="R31" s="20">
        <v>1133</v>
      </c>
      <c r="S31" s="20">
        <v>1893</v>
      </c>
      <c r="T31" s="20">
        <v>2562</v>
      </c>
      <c r="U31" s="20">
        <v>1687</v>
      </c>
      <c r="V31" s="20">
        <v>2547</v>
      </c>
      <c r="W31" s="20">
        <v>2329</v>
      </c>
      <c r="X31" s="20">
        <v>2670</v>
      </c>
      <c r="Y31" s="20">
        <v>2857</v>
      </c>
      <c r="Z31" s="17">
        <v>0</v>
      </c>
      <c r="AA31" s="20">
        <v>1854</v>
      </c>
      <c r="AB31" s="21">
        <v>555</v>
      </c>
      <c r="AD31" s="15" t="s">
        <v>121</v>
      </c>
      <c r="AE31" s="23">
        <v>11</v>
      </c>
    </row>
    <row r="32" spans="2:31" ht="22.5" x14ac:dyDescent="0.25">
      <c r="B32" s="14" t="s">
        <v>121</v>
      </c>
      <c r="C32" s="18">
        <v>1848</v>
      </c>
      <c r="D32" s="18">
        <v>2017</v>
      </c>
      <c r="E32" s="19">
        <v>906</v>
      </c>
      <c r="F32" s="18">
        <v>4076</v>
      </c>
      <c r="G32" s="19">
        <v>209</v>
      </c>
      <c r="H32" s="19">
        <v>935</v>
      </c>
      <c r="I32" s="19">
        <v>934</v>
      </c>
      <c r="J32" s="18">
        <v>1186</v>
      </c>
      <c r="K32" s="18">
        <v>1493</v>
      </c>
      <c r="L32" s="18">
        <v>2482</v>
      </c>
      <c r="M32" s="17">
        <v>0</v>
      </c>
      <c r="N32" s="18">
        <v>2442</v>
      </c>
      <c r="P32" s="14" t="s">
        <v>121</v>
      </c>
      <c r="Q32" s="20">
        <v>1461</v>
      </c>
      <c r="R32" s="20">
        <v>1693</v>
      </c>
      <c r="S32" s="21">
        <v>666</v>
      </c>
      <c r="T32" s="20">
        <v>2503</v>
      </c>
      <c r="U32" s="21">
        <v>173</v>
      </c>
      <c r="V32" s="21">
        <v>705</v>
      </c>
      <c r="W32" s="21">
        <v>740</v>
      </c>
      <c r="X32" s="21">
        <v>972</v>
      </c>
      <c r="Y32" s="20">
        <v>1215</v>
      </c>
      <c r="Z32" s="20">
        <v>1854</v>
      </c>
      <c r="AA32" s="17">
        <v>0</v>
      </c>
      <c r="AB32" s="20">
        <v>1889</v>
      </c>
      <c r="AD32" s="15" t="s">
        <v>122</v>
      </c>
      <c r="AE32" s="23">
        <v>12</v>
      </c>
    </row>
    <row r="33" spans="2:28" ht="22.5" x14ac:dyDescent="0.25">
      <c r="B33" s="14" t="s">
        <v>122</v>
      </c>
      <c r="C33" s="19">
        <v>611</v>
      </c>
      <c r="D33" s="18">
        <v>2161</v>
      </c>
      <c r="E33" s="18">
        <v>2171</v>
      </c>
      <c r="F33" s="18">
        <v>6593</v>
      </c>
      <c r="G33" s="18">
        <v>2245</v>
      </c>
      <c r="H33" s="18">
        <v>3357</v>
      </c>
      <c r="I33" s="18">
        <v>3366</v>
      </c>
      <c r="J33" s="18">
        <v>3188</v>
      </c>
      <c r="K33" s="18">
        <v>3485</v>
      </c>
      <c r="L33" s="19">
        <v>688</v>
      </c>
      <c r="M33" s="18">
        <v>2442</v>
      </c>
      <c r="N33" s="17">
        <v>0</v>
      </c>
      <c r="P33" s="14" t="s">
        <v>122</v>
      </c>
      <c r="Q33" s="21">
        <v>486</v>
      </c>
      <c r="R33" s="20">
        <v>1636</v>
      </c>
      <c r="S33" s="20">
        <v>1726</v>
      </c>
      <c r="T33" s="20">
        <v>3067</v>
      </c>
      <c r="U33" s="20">
        <v>1716</v>
      </c>
      <c r="V33" s="20">
        <v>2593</v>
      </c>
      <c r="W33" s="20">
        <v>2495</v>
      </c>
      <c r="X33" s="20">
        <v>2545</v>
      </c>
      <c r="Y33" s="20">
        <v>2693</v>
      </c>
      <c r="Z33" s="21">
        <v>555</v>
      </c>
      <c r="AA33" s="21">
        <v>1889</v>
      </c>
      <c r="AB33" s="17">
        <v>0</v>
      </c>
    </row>
    <row r="35" spans="2:28" x14ac:dyDescent="0.25">
      <c r="B35" s="24"/>
    </row>
    <row r="37" spans="2:28" x14ac:dyDescent="0.25">
      <c r="B37" s="25"/>
    </row>
    <row r="39" spans="2:28" x14ac:dyDescent="0.25">
      <c r="B39" s="24"/>
    </row>
    <row r="41" spans="2:28" x14ac:dyDescent="0.25">
      <c r="B41" s="24"/>
    </row>
    <row r="43" spans="2:28" x14ac:dyDescent="0.25">
      <c r="B43" s="24"/>
    </row>
    <row r="45" spans="2:28" x14ac:dyDescent="0.25">
      <c r="B45" s="24"/>
    </row>
    <row r="47" spans="2:28" x14ac:dyDescent="0.25">
      <c r="B47" s="24"/>
    </row>
    <row r="49" spans="2:2" x14ac:dyDescent="0.25">
      <c r="B49" s="24"/>
    </row>
    <row r="51" spans="2:2" x14ac:dyDescent="0.25">
      <c r="B51" s="24"/>
    </row>
    <row r="53" spans="2:2" x14ac:dyDescent="0.25">
      <c r="B53" s="24"/>
    </row>
    <row r="55" spans="2:2" x14ac:dyDescent="0.25">
      <c r="B55" s="24"/>
    </row>
    <row r="57" spans="2:2" x14ac:dyDescent="0.25">
      <c r="B57" s="24"/>
    </row>
    <row r="59" spans="2:2" x14ac:dyDescent="0.25">
      <c r="B59" s="26"/>
    </row>
    <row r="61" spans="2:2" x14ac:dyDescent="0.25">
      <c r="B61" s="27"/>
    </row>
    <row r="63" spans="2:2" x14ac:dyDescent="0.25">
      <c r="B63" s="24"/>
    </row>
    <row r="65" spans="2:2" x14ac:dyDescent="0.25">
      <c r="B65" s="24"/>
    </row>
    <row r="67" spans="2:2" x14ac:dyDescent="0.25">
      <c r="B67" s="25"/>
    </row>
    <row r="69" spans="2:2" x14ac:dyDescent="0.25">
      <c r="B69" s="24"/>
    </row>
    <row r="71" spans="2:2" x14ac:dyDescent="0.25">
      <c r="B71" s="26"/>
    </row>
    <row r="73" spans="2:2" x14ac:dyDescent="0.25">
      <c r="B73" s="24"/>
    </row>
    <row r="75" spans="2:2" x14ac:dyDescent="0.25">
      <c r="B75" s="24"/>
    </row>
    <row r="77" spans="2:2" x14ac:dyDescent="0.25">
      <c r="B77" s="26"/>
    </row>
    <row r="79" spans="2:2" x14ac:dyDescent="0.25">
      <c r="B79" s="26"/>
    </row>
    <row r="81" spans="2:2" x14ac:dyDescent="0.25">
      <c r="B81" s="24"/>
    </row>
    <row r="83" spans="2:2" x14ac:dyDescent="0.25">
      <c r="B83" s="26"/>
    </row>
    <row r="85" spans="2:2" x14ac:dyDescent="0.25">
      <c r="B85" s="24"/>
    </row>
    <row r="87" spans="2:2" x14ac:dyDescent="0.25">
      <c r="B87" s="24"/>
    </row>
    <row r="89" spans="2:2" x14ac:dyDescent="0.25">
      <c r="B89" s="27"/>
    </row>
    <row r="91" spans="2:2" x14ac:dyDescent="0.25">
      <c r="B91" s="24"/>
    </row>
    <row r="93" spans="2:2" x14ac:dyDescent="0.25">
      <c r="B93" s="24"/>
    </row>
    <row r="95" spans="2:2" x14ac:dyDescent="0.25">
      <c r="B95" s="24"/>
    </row>
    <row r="97" spans="2:2" x14ac:dyDescent="0.25">
      <c r="B97" s="25"/>
    </row>
    <row r="99" spans="2:2" x14ac:dyDescent="0.25">
      <c r="B99" s="24"/>
    </row>
    <row r="101" spans="2:2" x14ac:dyDescent="0.25">
      <c r="B101" s="24"/>
    </row>
    <row r="103" spans="2:2" x14ac:dyDescent="0.25">
      <c r="B103" s="24"/>
    </row>
    <row r="105" spans="2:2" x14ac:dyDescent="0.25">
      <c r="B105" s="24"/>
    </row>
    <row r="107" spans="2:2" x14ac:dyDescent="0.25">
      <c r="B107" s="24"/>
    </row>
    <row r="109" spans="2:2" x14ac:dyDescent="0.25">
      <c r="B109" s="24"/>
    </row>
    <row r="111" spans="2:2" x14ac:dyDescent="0.25">
      <c r="B111" s="24"/>
    </row>
    <row r="113" spans="2:2" x14ac:dyDescent="0.25">
      <c r="B113" s="24"/>
    </row>
    <row r="115" spans="2:2" x14ac:dyDescent="0.25">
      <c r="B115" s="24"/>
    </row>
    <row r="117" spans="2:2" x14ac:dyDescent="0.25">
      <c r="B117" s="27"/>
    </row>
    <row r="119" spans="2:2" x14ac:dyDescent="0.25">
      <c r="B119" s="24"/>
    </row>
    <row r="121" spans="2:2" x14ac:dyDescent="0.25">
      <c r="B121" s="24"/>
    </row>
    <row r="123" spans="2:2" x14ac:dyDescent="0.25">
      <c r="B123" s="26"/>
    </row>
    <row r="125" spans="2:2" x14ac:dyDescent="0.25">
      <c r="B125" s="24"/>
    </row>
    <row r="127" spans="2:2" x14ac:dyDescent="0.25">
      <c r="B127" s="26"/>
    </row>
    <row r="129" spans="2:2" x14ac:dyDescent="0.25">
      <c r="B129" s="26"/>
    </row>
    <row r="131" spans="2:2" x14ac:dyDescent="0.25">
      <c r="B131" s="26"/>
    </row>
    <row r="133" spans="2:2" x14ac:dyDescent="0.25">
      <c r="B133" s="24"/>
    </row>
    <row r="135" spans="2:2" x14ac:dyDescent="0.25">
      <c r="B135" s="24"/>
    </row>
    <row r="137" spans="2:2" x14ac:dyDescent="0.25">
      <c r="B137" s="24"/>
    </row>
    <row r="139" spans="2:2" x14ac:dyDescent="0.25">
      <c r="B139" s="26"/>
    </row>
    <row r="141" spans="2:2" x14ac:dyDescent="0.25">
      <c r="B141" s="24"/>
    </row>
    <row r="143" spans="2:2" x14ac:dyDescent="0.25">
      <c r="B143" s="24"/>
    </row>
    <row r="145" spans="2:2" x14ac:dyDescent="0.25">
      <c r="B145" s="27"/>
    </row>
    <row r="147" spans="2:2" x14ac:dyDescent="0.25">
      <c r="B147" s="24"/>
    </row>
    <row r="149" spans="2:2" x14ac:dyDescent="0.25">
      <c r="B149" s="24"/>
    </row>
    <row r="151" spans="2:2" x14ac:dyDescent="0.25">
      <c r="B151" s="24"/>
    </row>
    <row r="153" spans="2:2" x14ac:dyDescent="0.25">
      <c r="B153" s="24"/>
    </row>
    <row r="155" spans="2:2" x14ac:dyDescent="0.25">
      <c r="B155" s="24"/>
    </row>
    <row r="157" spans="2:2" x14ac:dyDescent="0.25">
      <c r="B157" s="26"/>
    </row>
    <row r="159" spans="2:2" x14ac:dyDescent="0.25">
      <c r="B159" s="26"/>
    </row>
    <row r="161" spans="2:2" x14ac:dyDescent="0.25">
      <c r="B161" s="26"/>
    </row>
    <row r="163" spans="2:2" x14ac:dyDescent="0.25">
      <c r="B163" s="24"/>
    </row>
    <row r="165" spans="2:2" x14ac:dyDescent="0.25">
      <c r="B165" s="24"/>
    </row>
    <row r="167" spans="2:2" x14ac:dyDescent="0.25">
      <c r="B167" s="26"/>
    </row>
    <row r="169" spans="2:2" x14ac:dyDescent="0.25">
      <c r="B169" s="24"/>
    </row>
    <row r="171" spans="2:2" x14ac:dyDescent="0.25">
      <c r="B171" s="24"/>
    </row>
    <row r="173" spans="2:2" x14ac:dyDescent="0.25">
      <c r="B173" s="27"/>
    </row>
    <row r="175" spans="2:2" x14ac:dyDescent="0.25">
      <c r="B175" s="24"/>
    </row>
    <row r="177" spans="2:2" x14ac:dyDescent="0.25">
      <c r="B177" s="24"/>
    </row>
    <row r="179" spans="2:2" x14ac:dyDescent="0.25">
      <c r="B179" s="24"/>
    </row>
    <row r="181" spans="2:2" x14ac:dyDescent="0.25">
      <c r="B181" s="24"/>
    </row>
    <row r="183" spans="2:2" x14ac:dyDescent="0.25">
      <c r="B183" s="24"/>
    </row>
    <row r="185" spans="2:2" x14ac:dyDescent="0.25">
      <c r="B185" s="26"/>
    </row>
    <row r="187" spans="2:2" x14ac:dyDescent="0.25">
      <c r="B187" s="26"/>
    </row>
    <row r="189" spans="2:2" x14ac:dyDescent="0.25">
      <c r="B189" s="24"/>
    </row>
    <row r="191" spans="2:2" x14ac:dyDescent="0.25">
      <c r="B191" s="24"/>
    </row>
    <row r="193" spans="2:2" x14ac:dyDescent="0.25">
      <c r="B193" s="24"/>
    </row>
    <row r="195" spans="2:2" x14ac:dyDescent="0.25">
      <c r="B195" s="26"/>
    </row>
    <row r="197" spans="2:2" x14ac:dyDescent="0.25">
      <c r="B197" s="24"/>
    </row>
    <row r="199" spans="2:2" x14ac:dyDescent="0.25">
      <c r="B199" s="24"/>
    </row>
    <row r="201" spans="2:2" x14ac:dyDescent="0.25">
      <c r="B201" s="27"/>
    </row>
    <row r="203" spans="2:2" x14ac:dyDescent="0.25">
      <c r="B203" s="24"/>
    </row>
    <row r="205" spans="2:2" x14ac:dyDescent="0.25">
      <c r="B205" s="24"/>
    </row>
    <row r="207" spans="2:2" x14ac:dyDescent="0.25">
      <c r="B207" s="24"/>
    </row>
    <row r="209" spans="2:2" x14ac:dyDescent="0.25">
      <c r="B209" s="24"/>
    </row>
    <row r="211" spans="2:2" x14ac:dyDescent="0.25">
      <c r="B211" s="24"/>
    </row>
    <row r="213" spans="2:2" x14ac:dyDescent="0.25">
      <c r="B213" s="26"/>
    </row>
    <row r="215" spans="2:2" x14ac:dyDescent="0.25">
      <c r="B215" s="24"/>
    </row>
    <row r="217" spans="2:2" x14ac:dyDescent="0.25">
      <c r="B217" s="26"/>
    </row>
    <row r="219" spans="2:2" x14ac:dyDescent="0.25">
      <c r="B219" s="26"/>
    </row>
    <row r="221" spans="2:2" x14ac:dyDescent="0.25">
      <c r="B221" s="24"/>
    </row>
    <row r="223" spans="2:2" x14ac:dyDescent="0.25">
      <c r="B223" s="26"/>
    </row>
    <row r="225" spans="2:2" x14ac:dyDescent="0.25">
      <c r="B225" s="24"/>
    </row>
    <row r="227" spans="2:2" x14ac:dyDescent="0.25">
      <c r="B227" s="24"/>
    </row>
    <row r="229" spans="2:2" x14ac:dyDescent="0.25">
      <c r="B229" s="27"/>
    </row>
    <row r="231" spans="2:2" x14ac:dyDescent="0.25">
      <c r="B231" s="24"/>
    </row>
    <row r="233" spans="2:2" x14ac:dyDescent="0.25">
      <c r="B233" s="24"/>
    </row>
    <row r="235" spans="2:2" x14ac:dyDescent="0.25">
      <c r="B235" s="24"/>
    </row>
    <row r="237" spans="2:2" x14ac:dyDescent="0.25">
      <c r="B237" s="24"/>
    </row>
    <row r="239" spans="2:2" x14ac:dyDescent="0.25">
      <c r="B239" s="24"/>
    </row>
    <row r="241" spans="2:2" x14ac:dyDescent="0.25">
      <c r="B241" s="24"/>
    </row>
    <row r="243" spans="2:2" x14ac:dyDescent="0.25">
      <c r="B243" s="24"/>
    </row>
    <row r="245" spans="2:2" x14ac:dyDescent="0.25">
      <c r="B245" s="26"/>
    </row>
    <row r="247" spans="2:2" x14ac:dyDescent="0.25">
      <c r="B247" s="26"/>
    </row>
    <row r="249" spans="2:2" x14ac:dyDescent="0.25">
      <c r="B249" s="24"/>
    </row>
    <row r="251" spans="2:2" x14ac:dyDescent="0.25">
      <c r="B251" s="24"/>
    </row>
    <row r="253" spans="2:2" x14ac:dyDescent="0.25">
      <c r="B253" s="24"/>
    </row>
    <row r="255" spans="2:2" x14ac:dyDescent="0.25">
      <c r="B255" s="24"/>
    </row>
    <row r="257" spans="2:2" x14ac:dyDescent="0.25">
      <c r="B257" s="27"/>
    </row>
    <row r="259" spans="2:2" x14ac:dyDescent="0.25">
      <c r="B259" s="24"/>
    </row>
    <row r="261" spans="2:2" x14ac:dyDescent="0.25">
      <c r="B261" s="24"/>
    </row>
    <row r="263" spans="2:2" x14ac:dyDescent="0.25">
      <c r="B263" s="24"/>
    </row>
    <row r="265" spans="2:2" x14ac:dyDescent="0.25">
      <c r="B265" s="24"/>
    </row>
    <row r="267" spans="2:2" x14ac:dyDescent="0.25">
      <c r="B267" s="24"/>
    </row>
    <row r="269" spans="2:2" x14ac:dyDescent="0.25">
      <c r="B269" s="24"/>
    </row>
    <row r="271" spans="2:2" x14ac:dyDescent="0.25">
      <c r="B271" s="24"/>
    </row>
    <row r="273" spans="2:2" x14ac:dyDescent="0.25">
      <c r="B273" s="24"/>
    </row>
    <row r="275" spans="2:2" x14ac:dyDescent="0.25">
      <c r="B275" s="24"/>
    </row>
    <row r="277" spans="2:2" x14ac:dyDescent="0.25">
      <c r="B277" s="26"/>
    </row>
    <row r="279" spans="2:2" x14ac:dyDescent="0.25">
      <c r="B279" s="24"/>
    </row>
    <row r="281" spans="2:2" x14ac:dyDescent="0.25">
      <c r="B281" s="26"/>
    </row>
    <row r="283" spans="2:2" x14ac:dyDescent="0.25">
      <c r="B283" s="24"/>
    </row>
    <row r="285" spans="2:2" x14ac:dyDescent="0.25">
      <c r="B285" s="27"/>
    </row>
    <row r="287" spans="2:2" x14ac:dyDescent="0.25">
      <c r="B287" s="24"/>
    </row>
    <row r="289" spans="2:2" x14ac:dyDescent="0.25">
      <c r="B289" s="24"/>
    </row>
    <row r="291" spans="2:2" x14ac:dyDescent="0.25">
      <c r="B291" s="26"/>
    </row>
    <row r="293" spans="2:2" x14ac:dyDescent="0.25">
      <c r="B293" s="24"/>
    </row>
    <row r="295" spans="2:2" x14ac:dyDescent="0.25">
      <c r="B295" s="26"/>
    </row>
    <row r="297" spans="2:2" x14ac:dyDescent="0.25">
      <c r="B297" s="26"/>
    </row>
    <row r="299" spans="2:2" x14ac:dyDescent="0.25">
      <c r="B299" s="26"/>
    </row>
    <row r="301" spans="2:2" x14ac:dyDescent="0.25">
      <c r="B301" s="24"/>
    </row>
    <row r="303" spans="2:2" x14ac:dyDescent="0.25">
      <c r="B303" s="24"/>
    </row>
    <row r="305" spans="2:2" x14ac:dyDescent="0.25">
      <c r="B305" s="24"/>
    </row>
    <row r="307" spans="2:2" x14ac:dyDescent="0.25">
      <c r="B307" s="26"/>
    </row>
    <row r="309" spans="2:2" x14ac:dyDescent="0.25">
      <c r="B309" s="24"/>
    </row>
    <row r="311" spans="2:2" x14ac:dyDescent="0.25">
      <c r="B311" s="24"/>
    </row>
    <row r="313" spans="2:2" x14ac:dyDescent="0.25">
      <c r="B313" s="27"/>
    </row>
    <row r="315" spans="2:2" x14ac:dyDescent="0.25">
      <c r="B315" s="26"/>
    </row>
    <row r="317" spans="2:2" x14ac:dyDescent="0.25">
      <c r="B317" s="24"/>
    </row>
    <row r="319" spans="2:2" x14ac:dyDescent="0.25">
      <c r="B319" s="24"/>
    </row>
    <row r="321" spans="2:2" x14ac:dyDescent="0.25">
      <c r="B321" s="24"/>
    </row>
    <row r="323" spans="2:2" x14ac:dyDescent="0.25">
      <c r="B323" s="24"/>
    </row>
    <row r="325" spans="2:2" x14ac:dyDescent="0.25">
      <c r="B325" s="24"/>
    </row>
    <row r="327" spans="2:2" x14ac:dyDescent="0.25">
      <c r="B327" s="24"/>
    </row>
    <row r="329" spans="2:2" x14ac:dyDescent="0.25">
      <c r="B329" s="24"/>
    </row>
    <row r="331" spans="2:2" x14ac:dyDescent="0.25">
      <c r="B331" s="24"/>
    </row>
    <row r="333" spans="2:2" x14ac:dyDescent="0.25">
      <c r="B333" s="26"/>
    </row>
    <row r="335" spans="2:2" x14ac:dyDescent="0.25">
      <c r="B335" s="24"/>
    </row>
    <row r="337" spans="2:2" x14ac:dyDescent="0.25">
      <c r="B337" s="26"/>
    </row>
    <row r="339" spans="2:2" x14ac:dyDescent="0.25">
      <c r="B339" s="24"/>
    </row>
    <row r="341" spans="2:2" x14ac:dyDescent="0.25">
      <c r="B341" s="27"/>
    </row>
    <row r="343" spans="2:2" x14ac:dyDescent="0.25">
      <c r="B343" s="26"/>
    </row>
    <row r="345" spans="2:2" x14ac:dyDescent="0.25">
      <c r="B345" s="26"/>
    </row>
    <row r="347" spans="2:2" x14ac:dyDescent="0.25">
      <c r="B347" s="26"/>
    </row>
    <row r="349" spans="2:2" x14ac:dyDescent="0.25">
      <c r="B349" s="26"/>
    </row>
    <row r="351" spans="2:2" x14ac:dyDescent="0.25">
      <c r="B351" s="26"/>
    </row>
    <row r="353" spans="2:2" x14ac:dyDescent="0.25">
      <c r="B353" s="26"/>
    </row>
    <row r="355" spans="2:2" x14ac:dyDescent="0.25">
      <c r="B355" s="26"/>
    </row>
    <row r="357" spans="2:2" x14ac:dyDescent="0.25">
      <c r="B357" s="26"/>
    </row>
    <row r="359" spans="2:2" x14ac:dyDescent="0.25">
      <c r="B359" s="26"/>
    </row>
    <row r="361" spans="2:2" x14ac:dyDescent="0.25">
      <c r="B361" s="26"/>
    </row>
    <row r="363" spans="2:2" x14ac:dyDescent="0.25">
      <c r="B363" s="26"/>
    </row>
    <row r="365" spans="2:2" x14ac:dyDescent="0.25">
      <c r="B365" s="26"/>
    </row>
    <row r="367" spans="2:2" x14ac:dyDescent="0.25">
      <c r="B367" s="26"/>
    </row>
    <row r="369" spans="2:2" x14ac:dyDescent="0.25">
      <c r="B369" s="27"/>
    </row>
    <row r="371" spans="2:2" x14ac:dyDescent="0.25">
      <c r="B371" s="26"/>
    </row>
    <row r="373" spans="2:2" x14ac:dyDescent="0.25">
      <c r="B373" s="24"/>
    </row>
    <row r="375" spans="2:2" x14ac:dyDescent="0.25">
      <c r="B375" s="24"/>
    </row>
    <row r="377" spans="2:2" x14ac:dyDescent="0.25">
      <c r="B377" s="24"/>
    </row>
    <row r="379" spans="2:2" x14ac:dyDescent="0.25">
      <c r="B379" s="24"/>
    </row>
    <row r="381" spans="2:2" x14ac:dyDescent="0.25">
      <c r="B381" s="24"/>
    </row>
    <row r="383" spans="2:2" x14ac:dyDescent="0.25">
      <c r="B383" s="24"/>
    </row>
    <row r="385" spans="2:2" x14ac:dyDescent="0.25">
      <c r="B385" s="24"/>
    </row>
    <row r="387" spans="2:2" x14ac:dyDescent="0.25">
      <c r="B387" s="24"/>
    </row>
    <row r="389" spans="2:2" x14ac:dyDescent="0.25">
      <c r="B389" s="24"/>
    </row>
    <row r="391" spans="2:2" x14ac:dyDescent="0.25">
      <c r="B391" s="24"/>
    </row>
    <row r="393" spans="2:2" x14ac:dyDescent="0.25">
      <c r="B393" s="26"/>
    </row>
    <row r="395" spans="2:2" x14ac:dyDescent="0.25">
      <c r="B395" s="26"/>
    </row>
    <row r="397" spans="2:2" x14ac:dyDescent="0.25">
      <c r="B397" s="27"/>
    </row>
    <row r="399" spans="2:2" x14ac:dyDescent="0.25">
      <c r="B399" s="24"/>
    </row>
    <row r="401" spans="2:2" x14ac:dyDescent="0.25">
      <c r="B401" s="24"/>
    </row>
    <row r="403" spans="2:2" x14ac:dyDescent="0.25">
      <c r="B403" s="24"/>
    </row>
    <row r="405" spans="2:2" x14ac:dyDescent="0.25">
      <c r="B405" s="26"/>
    </row>
    <row r="407" spans="2:2" x14ac:dyDescent="0.25">
      <c r="B407" s="24"/>
    </row>
    <row r="409" spans="2:2" x14ac:dyDescent="0.25">
      <c r="B409" s="24"/>
    </row>
    <row r="411" spans="2:2" x14ac:dyDescent="0.25">
      <c r="B411" s="24"/>
    </row>
    <row r="413" spans="2:2" x14ac:dyDescent="0.25">
      <c r="B413" s="24"/>
    </row>
    <row r="415" spans="2:2" x14ac:dyDescent="0.25">
      <c r="B415" s="24"/>
    </row>
    <row r="417" spans="2:2" x14ac:dyDescent="0.25">
      <c r="B417" s="24"/>
    </row>
    <row r="419" spans="2:2" x14ac:dyDescent="0.25">
      <c r="B419" s="24"/>
    </row>
    <row r="421" spans="2:2" x14ac:dyDescent="0.25">
      <c r="B421" s="24"/>
    </row>
    <row r="423" spans="2:2" x14ac:dyDescent="0.25">
      <c r="B423" s="26"/>
    </row>
    <row r="425" spans="2:2" x14ac:dyDescent="0.25">
      <c r="B425" s="27"/>
    </row>
    <row r="427" spans="2:2" x14ac:dyDescent="0.25">
      <c r="B427" s="26"/>
    </row>
    <row r="429" spans="2:2" x14ac:dyDescent="0.25">
      <c r="B429" s="24"/>
    </row>
    <row r="431" spans="2:2" x14ac:dyDescent="0.25">
      <c r="B431" s="24"/>
    </row>
    <row r="433" spans="2:2" x14ac:dyDescent="0.25">
      <c r="B433" s="24"/>
    </row>
    <row r="435" spans="2:2" x14ac:dyDescent="0.25">
      <c r="B435" s="24"/>
    </row>
    <row r="437" spans="2:2" x14ac:dyDescent="0.25">
      <c r="B437" s="24"/>
    </row>
    <row r="439" spans="2:2" x14ac:dyDescent="0.25">
      <c r="B439" s="24"/>
    </row>
    <row r="441" spans="2:2" x14ac:dyDescent="0.25">
      <c r="B441" s="24"/>
    </row>
    <row r="443" spans="2:2" x14ac:dyDescent="0.25">
      <c r="B443" s="24"/>
    </row>
    <row r="445" spans="2:2" x14ac:dyDescent="0.25">
      <c r="B445" s="26"/>
    </row>
    <row r="447" spans="2:2" x14ac:dyDescent="0.25">
      <c r="B447" s="24"/>
    </row>
    <row r="449" spans="2:2" x14ac:dyDescent="0.25">
      <c r="B449" s="26"/>
    </row>
    <row r="451" spans="2:2" x14ac:dyDescent="0.25">
      <c r="B451" s="26"/>
    </row>
    <row r="453" spans="2:2" x14ac:dyDescent="0.25">
      <c r="B453" s="27"/>
    </row>
    <row r="455" spans="2:2" x14ac:dyDescent="0.25">
      <c r="B455" s="24"/>
    </row>
    <row r="457" spans="2:2" x14ac:dyDescent="0.25">
      <c r="B457" s="24"/>
    </row>
    <row r="459" spans="2:2" x14ac:dyDescent="0.25">
      <c r="B459" s="24"/>
    </row>
    <row r="461" spans="2:2" x14ac:dyDescent="0.25">
      <c r="B461" s="24"/>
    </row>
    <row r="463" spans="2:2" x14ac:dyDescent="0.25">
      <c r="B463" s="26"/>
    </row>
    <row r="465" spans="2:2" x14ac:dyDescent="0.25">
      <c r="B465" s="24"/>
    </row>
    <row r="467" spans="2:2" x14ac:dyDescent="0.25">
      <c r="B467" s="24"/>
    </row>
    <row r="469" spans="2:2" x14ac:dyDescent="0.25">
      <c r="B469" s="24"/>
    </row>
    <row r="471" spans="2:2" x14ac:dyDescent="0.25">
      <c r="B471" s="24"/>
    </row>
    <row r="473" spans="2:2" x14ac:dyDescent="0.25">
      <c r="B473" s="24"/>
    </row>
    <row r="475" spans="2:2" x14ac:dyDescent="0.25">
      <c r="B475" s="26"/>
    </row>
    <row r="477" spans="2:2" x14ac:dyDescent="0.25">
      <c r="B477" s="24"/>
    </row>
    <row r="479" spans="2:2" x14ac:dyDescent="0.25">
      <c r="B479" s="26"/>
    </row>
    <row r="481" spans="2:2" x14ac:dyDescent="0.25">
      <c r="B481" s="27"/>
    </row>
    <row r="483" spans="2:2" x14ac:dyDescent="0.25">
      <c r="B483" s="24"/>
    </row>
    <row r="485" spans="2:2" x14ac:dyDescent="0.25">
      <c r="B485" s="24"/>
    </row>
    <row r="487" spans="2:2" x14ac:dyDescent="0.25">
      <c r="B487" s="24"/>
    </row>
    <row r="489" spans="2:2" x14ac:dyDescent="0.25">
      <c r="B489" s="24"/>
    </row>
    <row r="491" spans="2:2" x14ac:dyDescent="0.25">
      <c r="B491" s="24"/>
    </row>
    <row r="493" spans="2:2" x14ac:dyDescent="0.25">
      <c r="B493" s="24"/>
    </row>
    <row r="495" spans="2:2" x14ac:dyDescent="0.25">
      <c r="B495" s="24"/>
    </row>
    <row r="497" spans="2:2" x14ac:dyDescent="0.25">
      <c r="B497" s="26"/>
    </row>
    <row r="499" spans="2:2" x14ac:dyDescent="0.25">
      <c r="B499" s="26"/>
    </row>
    <row r="501" spans="2:2" x14ac:dyDescent="0.25">
      <c r="B501" s="24"/>
    </row>
    <row r="503" spans="2:2" x14ac:dyDescent="0.25">
      <c r="B503" s="24"/>
    </row>
    <row r="505" spans="2:2" x14ac:dyDescent="0.25">
      <c r="B505" s="24"/>
    </row>
    <row r="507" spans="2:2" x14ac:dyDescent="0.25">
      <c r="B507" s="26"/>
    </row>
    <row r="509" spans="2:2" x14ac:dyDescent="0.25">
      <c r="B509" s="27"/>
    </row>
    <row r="511" spans="2:2" x14ac:dyDescent="0.25">
      <c r="B511" s="24"/>
    </row>
    <row r="513" spans="2:2" x14ac:dyDescent="0.25">
      <c r="B513" s="24"/>
    </row>
    <row r="515" spans="2:2" x14ac:dyDescent="0.25">
      <c r="B515" s="24"/>
    </row>
    <row r="517" spans="2:2" x14ac:dyDescent="0.25">
      <c r="B517" s="24"/>
    </row>
    <row r="519" spans="2:2" x14ac:dyDescent="0.25">
      <c r="B519" s="24"/>
    </row>
    <row r="521" spans="2:2" x14ac:dyDescent="0.25">
      <c r="B521" s="24"/>
    </row>
    <row r="523" spans="2:2" x14ac:dyDescent="0.25">
      <c r="B523" s="24"/>
    </row>
    <row r="525" spans="2:2" x14ac:dyDescent="0.25">
      <c r="B525" s="24"/>
    </row>
    <row r="527" spans="2:2" x14ac:dyDescent="0.25">
      <c r="B527" s="24"/>
    </row>
    <row r="529" spans="2:2" x14ac:dyDescent="0.25">
      <c r="B529" s="24"/>
    </row>
    <row r="531" spans="2:2" x14ac:dyDescent="0.25">
      <c r="B531" s="24"/>
    </row>
    <row r="533" spans="2:2" x14ac:dyDescent="0.25">
      <c r="B533" s="24"/>
    </row>
    <row r="535" spans="2:2" x14ac:dyDescent="0.25">
      <c r="B535" s="26"/>
    </row>
    <row r="537" spans="2:2" x14ac:dyDescent="0.25">
      <c r="B537" s="27"/>
    </row>
    <row r="539" spans="2:2" x14ac:dyDescent="0.25">
      <c r="B539" s="26"/>
    </row>
    <row r="541" spans="2:2" x14ac:dyDescent="0.25">
      <c r="B541" s="24"/>
    </row>
    <row r="543" spans="2:2" x14ac:dyDescent="0.25">
      <c r="B543" s="24"/>
    </row>
    <row r="545" spans="2:2" x14ac:dyDescent="0.25">
      <c r="B545" s="24"/>
    </row>
    <row r="547" spans="2:2" x14ac:dyDescent="0.25">
      <c r="B547" s="24"/>
    </row>
    <row r="549" spans="2:2" x14ac:dyDescent="0.25">
      <c r="B549" s="24"/>
    </row>
    <row r="551" spans="2:2" x14ac:dyDescent="0.25">
      <c r="B551" s="24"/>
    </row>
    <row r="553" spans="2:2" x14ac:dyDescent="0.25">
      <c r="B553" s="24"/>
    </row>
    <row r="555" spans="2:2" x14ac:dyDescent="0.25">
      <c r="B555" s="24"/>
    </row>
    <row r="557" spans="2:2" x14ac:dyDescent="0.25">
      <c r="B557" s="26"/>
    </row>
    <row r="559" spans="2:2" x14ac:dyDescent="0.25">
      <c r="B559" s="24"/>
    </row>
    <row r="561" spans="2:2" x14ac:dyDescent="0.25">
      <c r="B561" s="26"/>
    </row>
    <row r="563" spans="2:2" x14ac:dyDescent="0.25">
      <c r="B563" s="26"/>
    </row>
    <row r="565" spans="2:2" x14ac:dyDescent="0.25">
      <c r="B565" s="27"/>
    </row>
    <row r="567" spans="2:2" x14ac:dyDescent="0.25">
      <c r="B567" s="24"/>
    </row>
    <row r="569" spans="2:2" x14ac:dyDescent="0.25">
      <c r="B569" s="24"/>
    </row>
    <row r="571" spans="2:2" x14ac:dyDescent="0.25">
      <c r="B571" s="24"/>
    </row>
    <row r="573" spans="2:2" x14ac:dyDescent="0.25">
      <c r="B573" s="24"/>
    </row>
    <row r="575" spans="2:2" x14ac:dyDescent="0.25">
      <c r="B575" s="24"/>
    </row>
    <row r="577" spans="2:2" x14ac:dyDescent="0.25">
      <c r="B577" s="24"/>
    </row>
    <row r="579" spans="2:2" x14ac:dyDescent="0.25">
      <c r="B579" s="24"/>
    </row>
    <row r="581" spans="2:2" x14ac:dyDescent="0.25">
      <c r="B581" s="24"/>
    </row>
    <row r="583" spans="2:2" x14ac:dyDescent="0.25">
      <c r="B583" s="24"/>
    </row>
    <row r="585" spans="2:2" x14ac:dyDescent="0.25">
      <c r="B585" s="24"/>
    </row>
    <row r="587" spans="2:2" x14ac:dyDescent="0.25">
      <c r="B587" s="24"/>
    </row>
    <row r="589" spans="2:2" x14ac:dyDescent="0.25">
      <c r="B589" s="24"/>
    </row>
    <row r="591" spans="2:2" x14ac:dyDescent="0.25">
      <c r="B591" s="26"/>
    </row>
    <row r="593" spans="2:2" x14ac:dyDescent="0.25">
      <c r="B593" s="27"/>
    </row>
    <row r="595" spans="2:2" x14ac:dyDescent="0.25">
      <c r="B595" s="24"/>
    </row>
    <row r="597" spans="2:2" x14ac:dyDescent="0.25">
      <c r="B597" s="24"/>
    </row>
    <row r="599" spans="2:2" x14ac:dyDescent="0.25">
      <c r="B599" s="26"/>
    </row>
    <row r="601" spans="2:2" x14ac:dyDescent="0.25">
      <c r="B601" s="24"/>
    </row>
    <row r="603" spans="2:2" x14ac:dyDescent="0.25">
      <c r="B603" s="24"/>
    </row>
    <row r="605" spans="2:2" x14ac:dyDescent="0.25">
      <c r="B605" s="24"/>
    </row>
    <row r="607" spans="2:2" x14ac:dyDescent="0.25">
      <c r="B607" s="24"/>
    </row>
    <row r="609" spans="2:2" x14ac:dyDescent="0.25">
      <c r="B609" s="26"/>
    </row>
    <row r="611" spans="2:2" x14ac:dyDescent="0.25">
      <c r="B611" s="24"/>
    </row>
    <row r="613" spans="2:2" x14ac:dyDescent="0.25">
      <c r="B613" s="24"/>
    </row>
    <row r="615" spans="2:2" x14ac:dyDescent="0.25">
      <c r="B615" s="24"/>
    </row>
    <row r="617" spans="2:2" x14ac:dyDescent="0.25">
      <c r="B617" s="24"/>
    </row>
    <row r="619" spans="2:2" x14ac:dyDescent="0.25">
      <c r="B619" s="26"/>
    </row>
    <row r="621" spans="2:2" x14ac:dyDescent="0.25">
      <c r="B621" s="27"/>
    </row>
    <row r="623" spans="2:2" x14ac:dyDescent="0.25">
      <c r="B623" s="26"/>
    </row>
    <row r="625" spans="2:2" x14ac:dyDescent="0.25">
      <c r="B625" s="24"/>
    </row>
    <row r="627" spans="2:2" x14ac:dyDescent="0.25">
      <c r="B627" s="24"/>
    </row>
    <row r="629" spans="2:2" x14ac:dyDescent="0.25">
      <c r="B629" s="24"/>
    </row>
    <row r="631" spans="2:2" x14ac:dyDescent="0.25">
      <c r="B631" s="24"/>
    </row>
    <row r="633" spans="2:2" x14ac:dyDescent="0.25">
      <c r="B633" s="24"/>
    </row>
    <row r="635" spans="2:2" x14ac:dyDescent="0.25">
      <c r="B635" s="24"/>
    </row>
    <row r="637" spans="2:2" x14ac:dyDescent="0.25">
      <c r="B637" s="24"/>
    </row>
    <row r="639" spans="2:2" x14ac:dyDescent="0.25">
      <c r="B639" s="24"/>
    </row>
    <row r="641" spans="2:2" x14ac:dyDescent="0.25">
      <c r="B641" s="24"/>
    </row>
    <row r="643" spans="2:2" x14ac:dyDescent="0.25">
      <c r="B643" s="24"/>
    </row>
    <row r="645" spans="2:2" x14ac:dyDescent="0.25">
      <c r="B645" s="26"/>
    </row>
    <row r="647" spans="2:2" x14ac:dyDescent="0.25">
      <c r="B647" s="26"/>
    </row>
    <row r="649" spans="2:2" x14ac:dyDescent="0.25">
      <c r="B649" s="27"/>
    </row>
    <row r="651" spans="2:2" x14ac:dyDescent="0.25">
      <c r="B651" s="24"/>
    </row>
    <row r="653" spans="2:2" x14ac:dyDescent="0.25">
      <c r="B653" s="26"/>
    </row>
    <row r="655" spans="2:2" x14ac:dyDescent="0.25">
      <c r="B655" s="24"/>
    </row>
    <row r="657" spans="2:2" x14ac:dyDescent="0.25">
      <c r="B657" s="24"/>
    </row>
    <row r="659" spans="2:2" x14ac:dyDescent="0.25">
      <c r="B659" s="24"/>
    </row>
    <row r="661" spans="2:2" x14ac:dyDescent="0.25">
      <c r="B661" s="24"/>
    </row>
    <row r="663" spans="2:2" x14ac:dyDescent="0.25">
      <c r="B663" s="24"/>
    </row>
    <row r="665" spans="2:2" x14ac:dyDescent="0.25">
      <c r="B665" s="24"/>
    </row>
    <row r="667" spans="2:2" x14ac:dyDescent="0.25">
      <c r="B667" s="24"/>
    </row>
    <row r="669" spans="2:2" x14ac:dyDescent="0.25">
      <c r="B669" s="24"/>
    </row>
    <row r="671" spans="2:2" x14ac:dyDescent="0.25">
      <c r="B671" s="24"/>
    </row>
    <row r="673" spans="2:2" x14ac:dyDescent="0.25">
      <c r="B673" s="24"/>
    </row>
    <row r="675" spans="2:2" x14ac:dyDescent="0.25">
      <c r="B675" s="26"/>
    </row>
    <row r="677" spans="2:2" x14ac:dyDescent="0.25">
      <c r="B677" s="27"/>
    </row>
    <row r="679" spans="2:2" x14ac:dyDescent="0.25">
      <c r="B679" s="24"/>
    </row>
    <row r="681" spans="2:2" x14ac:dyDescent="0.25">
      <c r="B681" s="24"/>
    </row>
    <row r="683" spans="2:2" x14ac:dyDescent="0.25">
      <c r="B683" s="26"/>
    </row>
    <row r="685" spans="2:2" x14ac:dyDescent="0.25">
      <c r="B685" s="24"/>
    </row>
    <row r="687" spans="2:2" x14ac:dyDescent="0.25">
      <c r="B687" s="24"/>
    </row>
    <row r="689" spans="2:2" x14ac:dyDescent="0.25">
      <c r="B689" s="24"/>
    </row>
    <row r="691" spans="2:2" x14ac:dyDescent="0.25">
      <c r="B691" s="24"/>
    </row>
    <row r="693" spans="2:2" x14ac:dyDescent="0.25">
      <c r="B693" s="26"/>
    </row>
    <row r="695" spans="2:2" x14ac:dyDescent="0.25">
      <c r="B695" s="26"/>
    </row>
    <row r="697" spans="2:2" x14ac:dyDescent="0.25">
      <c r="B697" s="24"/>
    </row>
    <row r="699" spans="2:2" x14ac:dyDescent="0.25">
      <c r="B699" s="26"/>
    </row>
    <row r="701" spans="2:2" x14ac:dyDescent="0.25">
      <c r="B701" s="24"/>
    </row>
    <row r="703" spans="2:2" x14ac:dyDescent="0.25">
      <c r="B703" s="26"/>
    </row>
    <row r="705" spans="2:2" x14ac:dyDescent="0.25">
      <c r="B705" s="27"/>
    </row>
    <row r="707" spans="2:2" x14ac:dyDescent="0.25">
      <c r="B707" s="24"/>
    </row>
    <row r="709" spans="2:2" x14ac:dyDescent="0.25">
      <c r="B709" s="26"/>
    </row>
    <row r="711" spans="2:2" x14ac:dyDescent="0.25">
      <c r="B711" s="24"/>
    </row>
    <row r="713" spans="2:2" x14ac:dyDescent="0.25">
      <c r="B713" s="24"/>
    </row>
    <row r="715" spans="2:2" x14ac:dyDescent="0.25">
      <c r="B715" s="24"/>
    </row>
    <row r="717" spans="2:2" x14ac:dyDescent="0.25">
      <c r="B717" s="24"/>
    </row>
    <row r="719" spans="2:2" x14ac:dyDescent="0.25">
      <c r="B719" s="24"/>
    </row>
    <row r="721" spans="2:2" x14ac:dyDescent="0.25">
      <c r="B721" s="24"/>
    </row>
    <row r="723" spans="2:2" x14ac:dyDescent="0.25">
      <c r="B723" s="24"/>
    </row>
    <row r="725" spans="2:2" x14ac:dyDescent="0.25">
      <c r="B725" s="26"/>
    </row>
    <row r="727" spans="2:2" x14ac:dyDescent="0.25">
      <c r="B727" s="24"/>
    </row>
    <row r="729" spans="2:2" x14ac:dyDescent="0.25">
      <c r="B729" s="24"/>
    </row>
    <row r="731" spans="2:2" x14ac:dyDescent="0.25">
      <c r="B731" s="26"/>
    </row>
    <row r="733" spans="2:2" x14ac:dyDescent="0.25">
      <c r="B733" s="27"/>
    </row>
    <row r="735" spans="2:2" x14ac:dyDescent="0.25">
      <c r="B735" s="24"/>
    </row>
    <row r="737" spans="2:2" x14ac:dyDescent="0.25">
      <c r="B737" s="24"/>
    </row>
    <row r="739" spans="2:2" x14ac:dyDescent="0.25">
      <c r="B739" s="26"/>
    </row>
    <row r="741" spans="2:2" x14ac:dyDescent="0.25">
      <c r="B741" s="24"/>
    </row>
    <row r="743" spans="2:2" x14ac:dyDescent="0.25">
      <c r="B743" s="24"/>
    </row>
    <row r="745" spans="2:2" x14ac:dyDescent="0.25">
      <c r="B745" s="24"/>
    </row>
    <row r="747" spans="2:2" x14ac:dyDescent="0.25">
      <c r="B747" s="24"/>
    </row>
    <row r="749" spans="2:2" x14ac:dyDescent="0.25">
      <c r="B749" s="24"/>
    </row>
    <row r="751" spans="2:2" x14ac:dyDescent="0.25">
      <c r="B751" s="24"/>
    </row>
    <row r="753" spans="2:2" x14ac:dyDescent="0.25">
      <c r="B753" s="24"/>
    </row>
    <row r="755" spans="2:2" x14ac:dyDescent="0.25">
      <c r="B755" s="24"/>
    </row>
    <row r="757" spans="2:2" x14ac:dyDescent="0.25">
      <c r="B757" s="24"/>
    </row>
    <row r="759" spans="2:2" x14ac:dyDescent="0.25">
      <c r="B759" s="26"/>
    </row>
  </sheetData>
  <dataValidations count="3">
    <dataValidation type="list" allowBlank="1" showInputMessage="1" showErrorMessage="1" sqref="B1 B2" xr:uid="{00000000-0002-0000-0400-000000000000}">
      <formula1>$B$22:$B$33</formula1>
    </dataValidation>
    <dataValidation type="list" allowBlank="1" showInputMessage="1" showErrorMessage="1" sqref="B3" xr:uid="{00000000-0002-0000-0400-000001000000}">
      <formula1>"Aposentado,Crianças,Conveniados,Balção"</formula1>
    </dataValidation>
    <dataValidation type="list" allowBlank="1" showInputMessage="1" showErrorMessage="1" sqref="B4" xr:uid="{00000000-0002-0000-0400-000002000000}">
      <formula1>"Rodoviário,Aéreo"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33"/>
  <sheetViews>
    <sheetView tabSelected="1" topLeftCell="A4" workbookViewId="0">
      <selection activeCell="J14" sqref="J14"/>
    </sheetView>
  </sheetViews>
  <sheetFormatPr defaultRowHeight="15" x14ac:dyDescent="0.25"/>
  <cols>
    <col min="1" max="1" width="16.28515625" customWidth="1"/>
    <col min="2" max="2" width="15" customWidth="1"/>
  </cols>
  <sheetData>
    <row r="1" spans="1:20" ht="15.75" x14ac:dyDescent="0.25">
      <c r="A1" s="28" t="s">
        <v>125</v>
      </c>
      <c r="B1" s="29" t="s">
        <v>206</v>
      </c>
      <c r="D1" t="s">
        <v>127</v>
      </c>
    </row>
    <row r="2" spans="1:20" ht="15.75" x14ac:dyDescent="0.25">
      <c r="A2" s="28" t="s">
        <v>128</v>
      </c>
      <c r="B2" s="29" t="s">
        <v>129</v>
      </c>
      <c r="D2" t="s">
        <v>52</v>
      </c>
    </row>
    <row r="3" spans="1:20" ht="15.75" x14ac:dyDescent="0.25">
      <c r="A3" s="28" t="s">
        <v>130</v>
      </c>
      <c r="B3" s="29" t="s">
        <v>145</v>
      </c>
      <c r="D3" t="s">
        <v>132</v>
      </c>
    </row>
    <row r="4" spans="1:20" ht="15.75" x14ac:dyDescent="0.25">
      <c r="A4" s="28" t="s">
        <v>133</v>
      </c>
      <c r="B4" s="29" t="s">
        <v>141</v>
      </c>
      <c r="D4" t="s">
        <v>134</v>
      </c>
    </row>
    <row r="5" spans="1:20" ht="15.75" x14ac:dyDescent="0.25">
      <c r="A5" s="28" t="s">
        <v>52</v>
      </c>
      <c r="B5" s="29" t="s">
        <v>12</v>
      </c>
      <c r="D5" t="s">
        <v>135</v>
      </c>
    </row>
    <row r="8" spans="1:20" ht="26.25" x14ac:dyDescent="0.4">
      <c r="A8" s="66" t="s">
        <v>136</v>
      </c>
      <c r="B8" s="66"/>
      <c r="C8" s="66"/>
      <c r="D8" s="66"/>
      <c r="E8" s="66"/>
      <c r="G8" s="66" t="s">
        <v>126</v>
      </c>
      <c r="H8" s="66"/>
      <c r="I8" s="66"/>
      <c r="L8" s="67" t="s">
        <v>137</v>
      </c>
      <c r="M8" s="67"/>
      <c r="N8" s="67"/>
      <c r="P8" t="e">
        <f>VLOOKUP(B4,IF(B1="Navio",A8:D17,F8:H17),MATCH(B3,A8:D8,0),0)</f>
        <v>#N/A</v>
      </c>
      <c r="Q8" t="e">
        <f>IF(B1="Saude",VLOOKUP(B3,L11:N20,IF(MATCH(B4,M10:N10,0)=0,"Não temos este tipo de acomodações!",MATCH(B4,M10:N10,0)),"Ops"))</f>
        <v>#VALUE!</v>
      </c>
      <c r="R8" t="str">
        <f>VLOOKUP(B3,L11:N20,MATCH(B4,L10:N10,0),0)</f>
        <v>R$ 85.42</v>
      </c>
      <c r="S8">
        <f>MATCH(B4,M10:N10,0)</f>
        <v>1</v>
      </c>
      <c r="T8">
        <f>MATCH(B4,M10:N10,0)</f>
        <v>1</v>
      </c>
    </row>
    <row r="9" spans="1:20" ht="20.25" x14ac:dyDescent="0.3">
      <c r="A9" s="58" t="s">
        <v>138</v>
      </c>
      <c r="B9" s="59"/>
      <c r="C9" s="59"/>
      <c r="D9" s="59"/>
      <c r="E9" s="60"/>
      <c r="G9" s="58" t="s">
        <v>139</v>
      </c>
      <c r="H9" s="59"/>
      <c r="I9" s="60"/>
      <c r="L9" s="68" t="s">
        <v>140</v>
      </c>
      <c r="M9" s="69"/>
      <c r="N9" s="69"/>
      <c r="R9" t="str">
        <f>IF(B2="Individual",IF(B1="Saude",VLOOKUP(B3,$L$11:$N$20,MATCH(B4,$L$10:$N$10,0),0),VLOOKUP(B3,$L$24:$N$33,MATCH(B4,$L$23:$N$23,0),0)),"AH")</f>
        <v>AH</v>
      </c>
    </row>
    <row r="10" spans="1:20" ht="24.75" thickBot="1" x14ac:dyDescent="0.3">
      <c r="A10" s="30" t="s">
        <v>133</v>
      </c>
      <c r="B10" s="30" t="s">
        <v>141</v>
      </c>
      <c r="C10" s="30" t="s">
        <v>142</v>
      </c>
      <c r="D10" s="30" t="s">
        <v>143</v>
      </c>
      <c r="E10" s="30" t="s">
        <v>144</v>
      </c>
      <c r="G10" s="30" t="s">
        <v>133</v>
      </c>
      <c r="H10" s="30" t="s">
        <v>141</v>
      </c>
      <c r="I10" s="30" t="s">
        <v>142</v>
      </c>
      <c r="L10" s="30" t="s">
        <v>133</v>
      </c>
      <c r="M10" s="30" t="s">
        <v>141</v>
      </c>
      <c r="N10" s="30" t="s">
        <v>142</v>
      </c>
      <c r="R10" t="b">
        <f>IF(B2="Individual",IF(B1="Saude",VLOOKUP(B3,$L$11:$N$20,MATCH(B4,$L$10:$N$10,0),0),IF(B1=G8,VLOOKUP(B3,$G$11:$I$20,MATCH(B4,$G$10:$I$10,0),0),VLOOKUP(B3,$A$11:$E$20,MATCH(B4,$A$10:$E$10,0)))))</f>
        <v>0</v>
      </c>
      <c r="S10">
        <f>IF(B2="individual",VLOOKUP(B3,$A$10:$N$20,MATCH(B4,$A$10:$E$10,0)+IF(B1=$G$8,6,IF(B1=$L$8,11,0)),0),VLOOKUP(B3,$A$23:$N$33,MATCH(B4,$A$10:$E$10,0)+IF(B1=$G$8,6,IF(B1=$L$8,11,0)),0))</f>
        <v>67.489999999999995</v>
      </c>
      <c r="T10" s="48" t="s">
        <v>207</v>
      </c>
    </row>
    <row r="11" spans="1:20" ht="24.75" thickBot="1" x14ac:dyDescent="0.3">
      <c r="A11" s="31" t="s">
        <v>145</v>
      </c>
      <c r="B11" s="31">
        <v>75.36</v>
      </c>
      <c r="C11" s="31">
        <v>94.94</v>
      </c>
      <c r="D11" s="31">
        <v>130.12</v>
      </c>
      <c r="E11" s="31">
        <v>165.63</v>
      </c>
      <c r="G11" s="31" t="s">
        <v>145</v>
      </c>
      <c r="H11" s="31">
        <v>85.86</v>
      </c>
      <c r="I11" s="31">
        <v>120.2</v>
      </c>
      <c r="L11" s="31" t="s">
        <v>145</v>
      </c>
      <c r="M11" s="32" t="s">
        <v>146</v>
      </c>
      <c r="N11" s="33" t="s">
        <v>147</v>
      </c>
    </row>
    <row r="12" spans="1:20" ht="24.75" thickBot="1" x14ac:dyDescent="0.3">
      <c r="A12" s="31" t="s">
        <v>148</v>
      </c>
      <c r="B12" s="31">
        <v>75.36</v>
      </c>
      <c r="C12" s="31">
        <v>94.94</v>
      </c>
      <c r="D12" s="31">
        <v>130.12</v>
      </c>
      <c r="E12" s="31">
        <v>165.63</v>
      </c>
      <c r="G12" s="31" t="s">
        <v>148</v>
      </c>
      <c r="H12" s="31">
        <v>85.86</v>
      </c>
      <c r="I12" s="31">
        <v>120.2</v>
      </c>
      <c r="L12" s="31" t="s">
        <v>148</v>
      </c>
      <c r="M12" s="32" t="s">
        <v>149</v>
      </c>
      <c r="N12" s="33" t="s">
        <v>150</v>
      </c>
      <c r="P12" t="str">
        <f>HLOOKUP(B3,L11:N20,MATCH(B4,M10:N10,0),0)</f>
        <v>00 a 18 anos</v>
      </c>
      <c r="Q12" t="str">
        <f>VLOOKUP(B3,L11:N20,1,0)</f>
        <v>00 a 18 anos</v>
      </c>
    </row>
    <row r="13" spans="1:20" ht="24.75" thickBot="1" x14ac:dyDescent="0.3">
      <c r="A13" s="31" t="s">
        <v>151</v>
      </c>
      <c r="B13" s="31">
        <v>120.58</v>
      </c>
      <c r="C13" s="31">
        <v>151.36000000000001</v>
      </c>
      <c r="D13" s="31">
        <v>208.1</v>
      </c>
      <c r="E13" s="31">
        <v>265</v>
      </c>
      <c r="G13" s="31" t="s">
        <v>151</v>
      </c>
      <c r="H13" s="31">
        <v>104.3</v>
      </c>
      <c r="I13" s="31">
        <v>146.02000000000001</v>
      </c>
      <c r="L13" s="31" t="s">
        <v>151</v>
      </c>
      <c r="M13" s="32" t="s">
        <v>152</v>
      </c>
      <c r="N13" s="33" t="s">
        <v>153</v>
      </c>
    </row>
    <row r="14" spans="1:20" ht="24.75" thickBot="1" x14ac:dyDescent="0.3">
      <c r="A14" s="31" t="s">
        <v>131</v>
      </c>
      <c r="B14" s="31">
        <v>120.58</v>
      </c>
      <c r="C14" s="31">
        <v>151.36000000000001</v>
      </c>
      <c r="D14" s="31">
        <v>208.1</v>
      </c>
      <c r="E14" s="31">
        <v>265</v>
      </c>
      <c r="G14" s="31" t="s">
        <v>131</v>
      </c>
      <c r="H14" s="31">
        <v>104.3</v>
      </c>
      <c r="I14" s="31">
        <v>146.02000000000001</v>
      </c>
      <c r="L14" s="31" t="s">
        <v>131</v>
      </c>
      <c r="M14" s="32" t="s">
        <v>154</v>
      </c>
      <c r="N14" s="33" t="s">
        <v>155</v>
      </c>
    </row>
    <row r="15" spans="1:20" ht="24.75" thickBot="1" x14ac:dyDescent="0.3">
      <c r="A15" s="31" t="s">
        <v>156</v>
      </c>
      <c r="B15" s="31">
        <v>144.65</v>
      </c>
      <c r="C15" s="31">
        <v>181.63</v>
      </c>
      <c r="D15" s="31">
        <v>249</v>
      </c>
      <c r="E15" s="31">
        <v>318</v>
      </c>
      <c r="G15" s="31" t="s">
        <v>156</v>
      </c>
      <c r="H15" s="31">
        <v>112.87</v>
      </c>
      <c r="I15" s="31">
        <v>158.02000000000001</v>
      </c>
      <c r="L15" s="31" t="s">
        <v>156</v>
      </c>
      <c r="M15" s="32" t="s">
        <v>157</v>
      </c>
      <c r="N15" s="33" t="s">
        <v>158</v>
      </c>
    </row>
    <row r="16" spans="1:20" ht="24.75" thickBot="1" x14ac:dyDescent="0.3">
      <c r="A16" s="31" t="s">
        <v>159</v>
      </c>
      <c r="B16" s="31">
        <v>144.65</v>
      </c>
      <c r="C16" s="31">
        <v>181.63</v>
      </c>
      <c r="D16" s="31">
        <v>249</v>
      </c>
      <c r="E16" s="31">
        <v>318</v>
      </c>
      <c r="G16" s="31" t="s">
        <v>159</v>
      </c>
      <c r="H16" s="31">
        <v>112.87</v>
      </c>
      <c r="I16" s="31">
        <v>158.02000000000001</v>
      </c>
      <c r="L16" s="31" t="s">
        <v>159</v>
      </c>
      <c r="M16" s="32" t="s">
        <v>160</v>
      </c>
      <c r="N16" s="33" t="s">
        <v>161</v>
      </c>
    </row>
    <row r="17" spans="1:14" ht="24.75" thickBot="1" x14ac:dyDescent="0.3">
      <c r="A17" s="31" t="s">
        <v>162</v>
      </c>
      <c r="B17" s="31">
        <v>279.24</v>
      </c>
      <c r="C17" s="31">
        <v>350.54</v>
      </c>
      <c r="D17" s="31">
        <v>482.17</v>
      </c>
      <c r="E17" s="31">
        <v>613.70000000000005</v>
      </c>
      <c r="G17" s="31" t="s">
        <v>162</v>
      </c>
      <c r="H17" s="31">
        <v>185</v>
      </c>
      <c r="I17" s="31">
        <v>259</v>
      </c>
      <c r="L17" s="31" t="s">
        <v>162</v>
      </c>
      <c r="M17" s="32" t="s">
        <v>163</v>
      </c>
      <c r="N17" s="33" t="s">
        <v>164</v>
      </c>
    </row>
    <row r="18" spans="1:14" ht="24.75" thickBot="1" x14ac:dyDescent="0.3">
      <c r="A18" s="31" t="s">
        <v>165</v>
      </c>
      <c r="B18" s="31">
        <v>279.24</v>
      </c>
      <c r="C18" s="31">
        <v>350.54</v>
      </c>
      <c r="D18" s="31">
        <v>482.17</v>
      </c>
      <c r="E18" s="31">
        <v>613.70000000000005</v>
      </c>
      <c r="G18" s="31" t="s">
        <v>165</v>
      </c>
      <c r="H18" s="31">
        <v>206.94</v>
      </c>
      <c r="I18" s="31">
        <v>289.70999999999998</v>
      </c>
      <c r="L18" s="31" t="s">
        <v>165</v>
      </c>
      <c r="M18" s="32" t="s">
        <v>166</v>
      </c>
      <c r="N18" s="33" t="s">
        <v>167</v>
      </c>
    </row>
    <row r="19" spans="1:14" ht="24.75" thickBot="1" x14ac:dyDescent="0.3">
      <c r="A19" s="31" t="s">
        <v>168</v>
      </c>
      <c r="B19" s="31">
        <v>323.88</v>
      </c>
      <c r="C19" s="31">
        <v>406.61</v>
      </c>
      <c r="D19" s="31">
        <v>559.29999999999995</v>
      </c>
      <c r="E19" s="31">
        <v>711.89</v>
      </c>
      <c r="G19" s="31" t="s">
        <v>168</v>
      </c>
      <c r="H19" s="31">
        <v>260.49</v>
      </c>
      <c r="I19" s="31">
        <v>364.68</v>
      </c>
      <c r="L19" s="31" t="s">
        <v>168</v>
      </c>
      <c r="M19" s="32" t="s">
        <v>169</v>
      </c>
      <c r="N19" s="33" t="s">
        <v>170</v>
      </c>
    </row>
    <row r="20" spans="1:14" ht="24.75" thickBot="1" x14ac:dyDescent="0.3">
      <c r="A20" s="31" t="s">
        <v>171</v>
      </c>
      <c r="B20" s="31" t="s">
        <v>172</v>
      </c>
      <c r="C20" s="31">
        <v>528.55999999999995</v>
      </c>
      <c r="D20" s="31">
        <v>727</v>
      </c>
      <c r="E20" s="31">
        <v>925.4</v>
      </c>
      <c r="G20" s="31" t="s">
        <v>171</v>
      </c>
      <c r="H20" s="31" t="s">
        <v>173</v>
      </c>
      <c r="I20" s="31">
        <v>532</v>
      </c>
      <c r="L20" s="31" t="s">
        <v>171</v>
      </c>
      <c r="M20" s="32" t="s">
        <v>174</v>
      </c>
      <c r="N20" s="33" t="s">
        <v>175</v>
      </c>
    </row>
    <row r="21" spans="1:14" ht="20.25" x14ac:dyDescent="0.3">
      <c r="A21" s="55" t="s">
        <v>176</v>
      </c>
      <c r="B21" s="56"/>
      <c r="C21" s="56"/>
      <c r="D21" s="56"/>
      <c r="E21" s="57"/>
      <c r="G21" s="58" t="s">
        <v>177</v>
      </c>
      <c r="H21" s="59"/>
      <c r="I21" s="60"/>
      <c r="L21" s="61" t="s">
        <v>129</v>
      </c>
      <c r="M21" s="61"/>
      <c r="N21" s="62"/>
    </row>
    <row r="22" spans="1:14" ht="20.25" x14ac:dyDescent="0.3">
      <c r="A22" s="65" t="s">
        <v>178</v>
      </c>
      <c r="B22" s="63"/>
      <c r="C22" s="63"/>
      <c r="D22" s="63"/>
      <c r="E22" s="64"/>
      <c r="G22" s="34"/>
      <c r="H22" s="34"/>
      <c r="I22" s="34"/>
      <c r="L22" s="63"/>
      <c r="M22" s="63"/>
      <c r="N22" s="64"/>
    </row>
    <row r="23" spans="1:14" ht="24.75" thickBot="1" x14ac:dyDescent="0.3">
      <c r="A23" s="30" t="s">
        <v>133</v>
      </c>
      <c r="B23" s="30" t="s">
        <v>141</v>
      </c>
      <c r="C23" s="30" t="s">
        <v>142</v>
      </c>
      <c r="D23" s="30" t="s">
        <v>143</v>
      </c>
      <c r="E23" s="30" t="s">
        <v>144</v>
      </c>
      <c r="G23" s="30" t="s">
        <v>133</v>
      </c>
      <c r="H23" s="30" t="s">
        <v>141</v>
      </c>
      <c r="I23" s="30" t="s">
        <v>142</v>
      </c>
      <c r="L23" s="30" t="s">
        <v>133</v>
      </c>
      <c r="M23" s="30" t="s">
        <v>141</v>
      </c>
      <c r="N23" s="30" t="s">
        <v>142</v>
      </c>
    </row>
    <row r="24" spans="1:14" ht="24.75" thickBot="1" x14ac:dyDescent="0.3">
      <c r="A24" s="31" t="s">
        <v>145</v>
      </c>
      <c r="B24" s="31">
        <v>67.489999999999995</v>
      </c>
      <c r="C24" s="31">
        <v>85.35</v>
      </c>
      <c r="D24" s="31">
        <v>117.02</v>
      </c>
      <c r="E24" s="31">
        <v>148.97</v>
      </c>
      <c r="G24" s="31" t="s">
        <v>145</v>
      </c>
      <c r="H24" s="31">
        <v>76.349999999999994</v>
      </c>
      <c r="I24" s="31">
        <v>106.89</v>
      </c>
      <c r="L24" s="31" t="s">
        <v>145</v>
      </c>
      <c r="M24" s="32" t="s">
        <v>146</v>
      </c>
      <c r="N24" s="33" t="s">
        <v>147</v>
      </c>
    </row>
    <row r="25" spans="1:14" ht="24.75" thickBot="1" x14ac:dyDescent="0.3">
      <c r="A25" s="31" t="s">
        <v>148</v>
      </c>
      <c r="B25" s="31">
        <v>67.489999999999995</v>
      </c>
      <c r="C25" s="31">
        <v>85.35</v>
      </c>
      <c r="D25" s="31">
        <v>117.02</v>
      </c>
      <c r="E25" s="31">
        <v>148.97</v>
      </c>
      <c r="G25" s="31" t="s">
        <v>148</v>
      </c>
      <c r="H25" s="31">
        <v>76.349999999999994</v>
      </c>
      <c r="I25" s="31">
        <v>106.89</v>
      </c>
      <c r="L25" s="31" t="s">
        <v>148</v>
      </c>
      <c r="M25" s="32" t="s">
        <v>149</v>
      </c>
      <c r="N25" s="33" t="s">
        <v>150</v>
      </c>
    </row>
    <row r="26" spans="1:14" ht="24.75" thickBot="1" x14ac:dyDescent="0.3">
      <c r="A26" s="31" t="s">
        <v>151</v>
      </c>
      <c r="B26" s="31">
        <v>108.47</v>
      </c>
      <c r="C26" s="31">
        <v>136.57</v>
      </c>
      <c r="D26" s="31">
        <v>187.23</v>
      </c>
      <c r="E26" s="31">
        <v>238.35</v>
      </c>
      <c r="G26" s="31" t="s">
        <v>151</v>
      </c>
      <c r="H26" s="31">
        <v>92.75</v>
      </c>
      <c r="I26" s="31">
        <v>129.85</v>
      </c>
      <c r="L26" s="31" t="s">
        <v>151</v>
      </c>
      <c r="M26" s="32" t="s">
        <v>152</v>
      </c>
      <c r="N26" s="33" t="s">
        <v>153</v>
      </c>
    </row>
    <row r="27" spans="1:14" ht="24.75" thickBot="1" x14ac:dyDescent="0.3">
      <c r="A27" s="31" t="s">
        <v>131</v>
      </c>
      <c r="B27" s="31">
        <v>108.47</v>
      </c>
      <c r="C27" s="31">
        <v>136.57</v>
      </c>
      <c r="D27" s="31">
        <v>187.23</v>
      </c>
      <c r="E27" s="31">
        <v>238.35</v>
      </c>
      <c r="G27" s="31" t="s">
        <v>131</v>
      </c>
      <c r="H27" s="31">
        <v>92.75</v>
      </c>
      <c r="I27" s="31">
        <v>129.85</v>
      </c>
      <c r="L27" s="31" t="s">
        <v>131</v>
      </c>
      <c r="M27" s="32" t="s">
        <v>154</v>
      </c>
      <c r="N27" s="33" t="s">
        <v>155</v>
      </c>
    </row>
    <row r="28" spans="1:14" ht="24.75" thickBot="1" x14ac:dyDescent="0.3">
      <c r="A28" s="31" t="s">
        <v>156</v>
      </c>
      <c r="B28" s="31">
        <v>130.12</v>
      </c>
      <c r="C28" s="31">
        <v>163.83000000000001</v>
      </c>
      <c r="D28" s="31">
        <v>224.67</v>
      </c>
      <c r="E28" s="31">
        <v>286.01</v>
      </c>
      <c r="G28" s="31" t="s">
        <v>156</v>
      </c>
      <c r="H28" s="31">
        <v>100.37</v>
      </c>
      <c r="I28" s="31">
        <v>140.52000000000001</v>
      </c>
      <c r="L28" s="31" t="s">
        <v>156</v>
      </c>
      <c r="M28" s="32" t="s">
        <v>157</v>
      </c>
      <c r="N28" s="33" t="s">
        <v>158</v>
      </c>
    </row>
    <row r="29" spans="1:14" ht="24.75" thickBot="1" x14ac:dyDescent="0.3">
      <c r="A29" s="31" t="s">
        <v>159</v>
      </c>
      <c r="B29" s="31">
        <v>130.12</v>
      </c>
      <c r="C29" s="31">
        <v>163.83000000000001</v>
      </c>
      <c r="D29" s="31">
        <v>224.67</v>
      </c>
      <c r="E29" s="31">
        <v>286.01</v>
      </c>
      <c r="G29" s="31" t="s">
        <v>159</v>
      </c>
      <c r="H29" s="31">
        <v>100.37</v>
      </c>
      <c r="I29" s="31">
        <v>140.52000000000001</v>
      </c>
      <c r="L29" s="31" t="s">
        <v>159</v>
      </c>
      <c r="M29" s="32" t="s">
        <v>160</v>
      </c>
      <c r="N29" s="33" t="s">
        <v>161</v>
      </c>
    </row>
    <row r="30" spans="1:14" ht="24.75" thickBot="1" x14ac:dyDescent="0.3">
      <c r="A30" s="31" t="s">
        <v>162</v>
      </c>
      <c r="B30" s="31">
        <v>251.13</v>
      </c>
      <c r="C30" s="31">
        <v>316.22000000000003</v>
      </c>
      <c r="D30" s="31">
        <v>433.63</v>
      </c>
      <c r="E30" s="31">
        <v>552</v>
      </c>
      <c r="G30" s="31" t="s">
        <v>162</v>
      </c>
      <c r="H30" s="31">
        <v>164.51</v>
      </c>
      <c r="I30" s="31">
        <v>230.31</v>
      </c>
      <c r="L30" s="31" t="s">
        <v>162</v>
      </c>
      <c r="M30" s="32" t="s">
        <v>163</v>
      </c>
      <c r="N30" s="33" t="s">
        <v>164</v>
      </c>
    </row>
    <row r="31" spans="1:14" ht="24.75" thickBot="1" x14ac:dyDescent="0.3">
      <c r="A31" s="31" t="s">
        <v>165</v>
      </c>
      <c r="B31" s="31">
        <v>251.13</v>
      </c>
      <c r="C31" s="31">
        <v>316.22000000000003</v>
      </c>
      <c r="D31" s="31">
        <v>433.63</v>
      </c>
      <c r="E31" s="31">
        <v>552</v>
      </c>
      <c r="G31" s="31" t="s">
        <v>165</v>
      </c>
      <c r="H31" s="31">
        <v>184.02</v>
      </c>
      <c r="I31" s="31">
        <v>257.62</v>
      </c>
      <c r="L31" s="31" t="s">
        <v>165</v>
      </c>
      <c r="M31" s="32" t="s">
        <v>166</v>
      </c>
      <c r="N31" s="33" t="s">
        <v>167</v>
      </c>
    </row>
    <row r="32" spans="1:14" ht="24.75" thickBot="1" x14ac:dyDescent="0.3">
      <c r="A32" s="31" t="s">
        <v>168</v>
      </c>
      <c r="B32" s="31">
        <v>291.31</v>
      </c>
      <c r="C32" s="31">
        <v>366.81</v>
      </c>
      <c r="D32" s="31">
        <v>503</v>
      </c>
      <c r="E32" s="31">
        <v>640.33000000000004</v>
      </c>
      <c r="G32" s="31" t="s">
        <v>168</v>
      </c>
      <c r="H32" s="31">
        <v>231.64</v>
      </c>
      <c r="I32" s="31">
        <v>324.29000000000002</v>
      </c>
      <c r="L32" s="31" t="s">
        <v>168</v>
      </c>
      <c r="M32" s="32" t="s">
        <v>169</v>
      </c>
      <c r="N32" s="33" t="s">
        <v>170</v>
      </c>
    </row>
    <row r="33" spans="1:14" ht="24" x14ac:dyDescent="0.25">
      <c r="A33" s="31" t="s">
        <v>171</v>
      </c>
      <c r="B33" s="31" t="s">
        <v>179</v>
      </c>
      <c r="C33" s="31">
        <v>476.78</v>
      </c>
      <c r="D33" s="31">
        <v>653.9</v>
      </c>
      <c r="E33" s="31">
        <v>832.43</v>
      </c>
      <c r="G33" s="31" t="s">
        <v>171</v>
      </c>
      <c r="H33" s="31" t="s">
        <v>180</v>
      </c>
      <c r="I33" s="31">
        <v>473.08</v>
      </c>
      <c r="L33" s="31" t="s">
        <v>171</v>
      </c>
      <c r="M33" s="35" t="s">
        <v>174</v>
      </c>
      <c r="N33" s="36" t="s">
        <v>175</v>
      </c>
    </row>
  </sheetData>
  <mergeCells count="10">
    <mergeCell ref="A21:E21"/>
    <mergeCell ref="G21:I21"/>
    <mergeCell ref="L21:N22"/>
    <mergeCell ref="A22:E22"/>
    <mergeCell ref="A8:E8"/>
    <mergeCell ref="G8:I8"/>
    <mergeCell ref="L8:N8"/>
    <mergeCell ref="A9:E9"/>
    <mergeCell ref="G9:I9"/>
    <mergeCell ref="L9:N9"/>
  </mergeCells>
  <dataValidations disablePrompts="1" count="4">
    <dataValidation type="list" allowBlank="1" showInputMessage="1" showErrorMessage="1" sqref="B1" xr:uid="{00000000-0002-0000-0500-000000000000}">
      <formula1>"Ameplan, Saude, Intermedica"</formula1>
    </dataValidation>
    <dataValidation type="list" allowBlank="1" showInputMessage="1" showErrorMessage="1" sqref="B4" xr:uid="{00000000-0002-0000-0500-000001000000}">
      <formula1>$B$10:$E$10</formula1>
    </dataValidation>
    <dataValidation type="list" allowBlank="1" showInputMessage="1" showErrorMessage="1" sqref="B2" xr:uid="{00000000-0002-0000-0500-000002000000}">
      <formula1>"Individual, Familiar"</formula1>
    </dataValidation>
    <dataValidation type="list" allowBlank="1" showInputMessage="1" showErrorMessage="1" sqref="B3" xr:uid="{00000000-0002-0000-0500-000003000000}">
      <formula1>$A$11:$A$20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21"/>
  <sheetViews>
    <sheetView workbookViewId="0">
      <selection activeCell="E10" sqref="E10"/>
    </sheetView>
  </sheetViews>
  <sheetFormatPr defaultRowHeight="15" x14ac:dyDescent="0.25"/>
  <cols>
    <col min="1" max="1" width="24.28515625" customWidth="1"/>
    <col min="2" max="2" width="13.28515625" customWidth="1"/>
    <col min="6" max="6" width="22.140625" customWidth="1"/>
    <col min="7" max="7" width="18" customWidth="1"/>
  </cols>
  <sheetData>
    <row r="1" spans="1:7" x14ac:dyDescent="0.25">
      <c r="A1" t="s">
        <v>181</v>
      </c>
      <c r="B1" t="s">
        <v>182</v>
      </c>
    </row>
    <row r="2" spans="1:7" x14ac:dyDescent="0.25">
      <c r="A2" t="s">
        <v>183</v>
      </c>
      <c r="B2" t="s">
        <v>193</v>
      </c>
    </row>
    <row r="3" spans="1:7" x14ac:dyDescent="0.25">
      <c r="A3" t="s">
        <v>184</v>
      </c>
      <c r="B3">
        <v>5</v>
      </c>
    </row>
    <row r="4" spans="1:7" x14ac:dyDescent="0.25">
      <c r="A4" t="s">
        <v>11</v>
      </c>
      <c r="B4" s="2" t="s">
        <v>12</v>
      </c>
    </row>
    <row r="7" spans="1:7" x14ac:dyDescent="0.25">
      <c r="A7" s="37" t="s">
        <v>185</v>
      </c>
      <c r="B7" s="37" t="s">
        <v>186</v>
      </c>
      <c r="F7" s="70" t="s">
        <v>187</v>
      </c>
      <c r="G7" s="70"/>
    </row>
    <row r="8" spans="1:7" x14ac:dyDescent="0.25">
      <c r="A8" s="1" t="s">
        <v>188</v>
      </c>
      <c r="B8" s="1">
        <v>150</v>
      </c>
      <c r="F8" s="38" t="s">
        <v>183</v>
      </c>
      <c r="G8" s="38" t="s">
        <v>189</v>
      </c>
    </row>
    <row r="9" spans="1:7" x14ac:dyDescent="0.25">
      <c r="A9" s="1" t="s">
        <v>190</v>
      </c>
      <c r="B9" s="1">
        <v>220</v>
      </c>
      <c r="F9" s="1" t="s">
        <v>191</v>
      </c>
      <c r="G9" s="39">
        <v>0.05</v>
      </c>
    </row>
    <row r="10" spans="1:7" x14ac:dyDescent="0.25">
      <c r="A10" s="1" t="s">
        <v>192</v>
      </c>
      <c r="B10" s="1">
        <v>260</v>
      </c>
      <c r="F10" s="1" t="s">
        <v>193</v>
      </c>
      <c r="G10" s="39">
        <v>0.15</v>
      </c>
    </row>
    <row r="11" spans="1:7" x14ac:dyDescent="0.25">
      <c r="A11" s="1" t="s">
        <v>194</v>
      </c>
      <c r="B11" s="1">
        <v>350</v>
      </c>
      <c r="F11" s="1" t="s">
        <v>195</v>
      </c>
      <c r="G11" s="39">
        <v>0.2</v>
      </c>
    </row>
    <row r="12" spans="1:7" x14ac:dyDescent="0.25">
      <c r="A12" s="1" t="s">
        <v>182</v>
      </c>
      <c r="B12" s="1">
        <v>450</v>
      </c>
      <c r="F12" s="1" t="s">
        <v>196</v>
      </c>
      <c r="G12" s="39">
        <v>0.22</v>
      </c>
    </row>
    <row r="13" spans="1:7" x14ac:dyDescent="0.25">
      <c r="A13" s="1" t="s">
        <v>197</v>
      </c>
      <c r="B13" s="1">
        <v>850</v>
      </c>
      <c r="F13" s="1" t="s">
        <v>198</v>
      </c>
      <c r="G13" s="39">
        <v>0.35</v>
      </c>
    </row>
    <row r="16" spans="1:7" x14ac:dyDescent="0.25">
      <c r="A16" t="s">
        <v>199</v>
      </c>
    </row>
    <row r="17" spans="1:1" x14ac:dyDescent="0.25">
      <c r="A17" t="s">
        <v>200</v>
      </c>
    </row>
    <row r="18" spans="1:1" x14ac:dyDescent="0.25">
      <c r="A18" t="s">
        <v>201</v>
      </c>
    </row>
    <row r="19" spans="1:1" x14ac:dyDescent="0.25">
      <c r="A19" t="s">
        <v>202</v>
      </c>
    </row>
    <row r="20" spans="1:1" x14ac:dyDescent="0.25">
      <c r="A20" t="s">
        <v>203</v>
      </c>
    </row>
    <row r="21" spans="1:1" x14ac:dyDescent="0.25">
      <c r="A21" t="s">
        <v>204</v>
      </c>
    </row>
  </sheetData>
  <mergeCells count="1">
    <mergeCell ref="F7:G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Plan1</vt:lpstr>
      <vt:lpstr>Plan2</vt:lpstr>
      <vt:lpstr>Plan3</vt:lpstr>
      <vt:lpstr>Plan4</vt:lpstr>
      <vt:lpstr>Plan5</vt:lpstr>
      <vt:lpstr>Plan6</vt:lpstr>
      <vt:lpstr>Plan7</vt:lpstr>
    </vt:vector>
  </TitlesOfParts>
  <Company>FATEC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sergio.clauss</dc:creator>
  <cp:lastModifiedBy>Rafael Nunes</cp:lastModifiedBy>
  <dcterms:created xsi:type="dcterms:W3CDTF">2014-09-13T00:04:09Z</dcterms:created>
  <dcterms:modified xsi:type="dcterms:W3CDTF">2019-10-03T19:22:57Z</dcterms:modified>
</cp:coreProperties>
</file>