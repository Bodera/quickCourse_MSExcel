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afae\Documents\exercicios-excel\Excel\"/>
    </mc:Choice>
  </mc:AlternateContent>
  <xr:revisionPtr revIDLastSave="0" documentId="13_ncr:1_{14C7A576-4772-470E-82CA-8F161D301F5D}" xr6:coauthVersionLast="44" xr6:coauthVersionMax="44" xr10:uidLastSave="{00000000-0000-0000-0000-000000000000}"/>
  <bookViews>
    <workbookView xWindow="-120" yWindow="-120" windowWidth="20730" windowHeight="11760" firstSheet="6" activeTab="15" xr2:uid="{00000000-000D-0000-FFFF-FFFF00000000}"/>
  </bookViews>
  <sheets>
    <sheet name="Plan1" sheetId="1" r:id="rId1"/>
    <sheet name="Plan2" sheetId="2" r:id="rId2"/>
    <sheet name="Plan3" sheetId="3" r:id="rId3"/>
    <sheet name="Plan4" sheetId="4" r:id="rId4"/>
    <sheet name="Plan5" sheetId="5" r:id="rId5"/>
    <sheet name="Plan6" sheetId="6" r:id="rId6"/>
    <sheet name="Plan7" sheetId="7" r:id="rId7"/>
    <sheet name="Plan8" sheetId="8" r:id="rId8"/>
    <sheet name="Plan9" sheetId="9" r:id="rId9"/>
    <sheet name="Plan10" sheetId="10" r:id="rId10"/>
    <sheet name="Plan11" sheetId="11" r:id="rId11"/>
    <sheet name="Plan13" sheetId="13" r:id="rId12"/>
    <sheet name="Plan14" sheetId="14" r:id="rId13"/>
    <sheet name="Plan15" sheetId="15" r:id="rId14"/>
    <sheet name="Plan16" sheetId="16" r:id="rId15"/>
    <sheet name="Plan17" sheetId="17" r:id="rId16"/>
    <sheet name="Plan18" sheetId="18" r:id="rId17"/>
  </sheets>
  <definedNames>
    <definedName name="_xlnm._FilterDatabase" localSheetId="0" hidden="1">Plan1!$A$1:$D$73</definedName>
    <definedName name="solver_adj" localSheetId="1" hidden="1">Plan2!$C$6:$C$9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Plan2!$C$7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Plan2!$C$10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hs1" localSheetId="1" hidden="1">1500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6049.977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3" i="14" l="1"/>
  <c r="B22" i="14"/>
  <c r="B21" i="14"/>
  <c r="H13" i="14"/>
  <c r="H12" i="14"/>
  <c r="H11" i="14"/>
  <c r="H9" i="14"/>
  <c r="H10" i="14"/>
  <c r="H8" i="14"/>
  <c r="H7" i="14"/>
  <c r="H6" i="14"/>
  <c r="H5" i="14"/>
  <c r="H4" i="14"/>
  <c r="H3" i="14"/>
  <c r="H2" i="14"/>
  <c r="E18" i="14" l="1"/>
  <c r="E17" i="14"/>
  <c r="E16" i="14"/>
  <c r="E15" i="14"/>
  <c r="E14" i="14"/>
  <c r="D18" i="14"/>
  <c r="D17" i="14"/>
  <c r="D16" i="14"/>
  <c r="D15" i="14"/>
  <c r="D14" i="14"/>
  <c r="C17" i="14"/>
  <c r="C18" i="14"/>
  <c r="C16" i="14"/>
  <c r="C15" i="14"/>
  <c r="C14" i="14"/>
  <c r="B18" i="14"/>
  <c r="B17" i="14"/>
  <c r="B16" i="14"/>
  <c r="B15" i="14"/>
  <c r="B14" i="14"/>
  <c r="C10" i="2" l="1"/>
  <c r="B17" i="9" l="1"/>
  <c r="B4" i="15"/>
  <c r="B3" i="17"/>
  <c r="B14" i="18"/>
  <c r="K11" i="13" l="1"/>
  <c r="K10" i="13"/>
  <c r="K9" i="13"/>
  <c r="K7" i="13"/>
  <c r="K6" i="13"/>
  <c r="K3" i="13"/>
  <c r="K8" i="13"/>
  <c r="K5" i="13"/>
  <c r="K4" i="13"/>
  <c r="K2" i="13"/>
  <c r="G12" i="13"/>
  <c r="G3" i="13"/>
  <c r="G4" i="13"/>
  <c r="G5" i="13"/>
  <c r="G6" i="13"/>
  <c r="G7" i="13"/>
  <c r="G8" i="13"/>
  <c r="G9" i="13"/>
  <c r="G10" i="13"/>
  <c r="G11" i="13"/>
  <c r="G2" i="13"/>
  <c r="F3" i="13"/>
  <c r="F4" i="13"/>
  <c r="F5" i="13"/>
  <c r="F6" i="13"/>
  <c r="F7" i="13"/>
  <c r="F8" i="13"/>
  <c r="F9" i="13"/>
  <c r="F10" i="13"/>
  <c r="F11" i="13"/>
  <c r="F2" i="13"/>
  <c r="J18" i="11"/>
  <c r="H15" i="11"/>
  <c r="H16" i="11"/>
  <c r="H17" i="11"/>
  <c r="H18" i="11"/>
  <c r="H14" i="11"/>
  <c r="H11" i="11"/>
  <c r="F4" i="11"/>
  <c r="F5" i="11"/>
  <c r="F6" i="11"/>
  <c r="F7" i="11"/>
  <c r="F8" i="11"/>
  <c r="F9" i="11"/>
  <c r="F10" i="11"/>
  <c r="F11" i="11"/>
  <c r="F3" i="11"/>
  <c r="F2" i="11"/>
  <c r="D3" i="11"/>
  <c r="D4" i="11"/>
  <c r="D5" i="11"/>
  <c r="D6" i="11"/>
  <c r="D7" i="11"/>
  <c r="D8" i="11"/>
  <c r="D9" i="11"/>
  <c r="D10" i="11"/>
  <c r="D11" i="11"/>
  <c r="D2" i="11"/>
  <c r="B5" i="10"/>
  <c r="G5" i="8"/>
  <c r="G4" i="8"/>
  <c r="G2" i="8"/>
  <c r="G3" i="8"/>
  <c r="D12" i="8"/>
  <c r="D3" i="8"/>
  <c r="D4" i="8"/>
  <c r="D5" i="8"/>
  <c r="D6" i="8"/>
  <c r="D7" i="8"/>
  <c r="D8" i="8"/>
  <c r="D9" i="8"/>
  <c r="D10" i="8"/>
  <c r="D11" i="8"/>
  <c r="D2" i="8"/>
  <c r="G8" i="7"/>
  <c r="C7" i="7"/>
  <c r="G12" i="7"/>
  <c r="G11" i="7"/>
  <c r="G6" i="8" l="1"/>
  <c r="E9" i="3"/>
  <c r="E8" i="3"/>
  <c r="E7" i="3"/>
  <c r="E6" i="3"/>
  <c r="E5" i="3"/>
  <c r="E4" i="3"/>
  <c r="E3" i="3"/>
  <c r="B15" i="3" s="1"/>
  <c r="G7" i="3" l="1"/>
  <c r="B13" i="3"/>
  <c r="B14" i="3"/>
  <c r="B10" i="2"/>
  <c r="B12" i="2" s="1"/>
  <c r="G9" i="18" l="1"/>
  <c r="H9" i="18" s="1"/>
  <c r="G8" i="18"/>
  <c r="H8" i="18" s="1"/>
  <c r="G7" i="18"/>
  <c r="H7" i="18" s="1"/>
  <c r="G6" i="18"/>
  <c r="H6" i="18" s="1"/>
  <c r="G5" i="18"/>
  <c r="H5" i="18" s="1"/>
  <c r="H4" i="18"/>
  <c r="G4" i="18"/>
  <c r="G3" i="18"/>
  <c r="H3" i="18" s="1"/>
  <c r="G2" i="18"/>
  <c r="H2" i="18" s="1"/>
  <c r="D17" i="10" l="1"/>
  <c r="D13" i="10"/>
  <c r="E10" i="10"/>
  <c r="E11" i="10" s="1"/>
  <c r="E12" i="10" s="1"/>
  <c r="E13" i="10" s="1"/>
  <c r="E14" i="10" s="1"/>
  <c r="E15" i="10" s="1"/>
  <c r="E16" i="10" s="1"/>
  <c r="E17" i="10" s="1"/>
  <c r="D10" i="10"/>
  <c r="C10" i="10"/>
  <c r="C11" i="10" s="1"/>
  <c r="C12" i="10" s="1"/>
  <c r="C13" i="10" s="1"/>
  <c r="C14" i="10" s="1"/>
  <c r="C15" i="10" s="1"/>
  <c r="C16" i="10" s="1"/>
  <c r="C17" i="10" s="1"/>
  <c r="B10" i="10"/>
  <c r="B11" i="10" s="1"/>
  <c r="B12" i="10" s="1"/>
  <c r="B13" i="10" s="1"/>
  <c r="B14" i="10" s="1"/>
  <c r="B15" i="10" s="1"/>
  <c r="B16" i="10" s="1"/>
  <c r="B17" i="10" s="1"/>
  <c r="D204" i="9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D23" i="4"/>
  <c r="C23" i="4"/>
  <c r="E23" i="4" s="1"/>
  <c r="D22" i="4"/>
  <c r="C22" i="4"/>
  <c r="E22" i="4" s="1"/>
  <c r="D21" i="4"/>
  <c r="B8" i="4" s="1"/>
  <c r="C21" i="4"/>
  <c r="E21" i="4" s="1"/>
  <c r="D20" i="4"/>
  <c r="C20" i="4"/>
  <c r="E20" i="4" s="1"/>
  <c r="D19" i="4"/>
  <c r="C19" i="4"/>
  <c r="E19" i="4" s="1"/>
  <c r="D18" i="4"/>
  <c r="C18" i="4"/>
  <c r="E18" i="4" s="1"/>
  <c r="D17" i="4"/>
  <c r="C17" i="4"/>
  <c r="E17" i="4" s="1"/>
  <c r="D16" i="4"/>
  <c r="C16" i="4"/>
  <c r="E16" i="4" s="1"/>
  <c r="D15" i="4"/>
  <c r="C15" i="4"/>
  <c r="E15" i="4" s="1"/>
  <c r="D14" i="4"/>
  <c r="C14" i="4"/>
  <c r="E14" i="4" s="1"/>
  <c r="E13" i="4"/>
  <c r="D13" i="4"/>
  <c r="C13" i="4"/>
</calcChain>
</file>

<file path=xl/sharedStrings.xml><?xml version="1.0" encoding="utf-8"?>
<sst xmlns="http://schemas.openxmlformats.org/spreadsheetml/2006/main" count="862" uniqueCount="430">
  <si>
    <t>Produtos</t>
  </si>
  <si>
    <t>Quantidade</t>
  </si>
  <si>
    <t>Região</t>
  </si>
  <si>
    <t>ESTOQUE</t>
  </si>
  <si>
    <t>Crie uma tabela e um gráfico Dinânico</t>
  </si>
  <si>
    <t>AAA</t>
  </si>
  <si>
    <t>SUL</t>
  </si>
  <si>
    <t>BBB</t>
  </si>
  <si>
    <t>Crie o Subtotal por região</t>
  </si>
  <si>
    <t>NORTE</t>
  </si>
  <si>
    <t>CCC</t>
  </si>
  <si>
    <t>DDD</t>
  </si>
  <si>
    <t>CENTRO</t>
  </si>
  <si>
    <t>NORDESTE</t>
  </si>
  <si>
    <t xml:space="preserve">A empresa XCV após uma análise detalhada, observou que a empresa necessitava diminuir o custo em R$ 212,34 nos gastos mensais. </t>
  </si>
  <si>
    <t>Sabendo que é gasto R$ 1250 com água, R$ 1725,42 com Energia; R$ 725,89 Com produtos, R$ 2561,00 com telefone.</t>
  </si>
  <si>
    <t>Desenvolva uma planilha que apresente os valores atuais e o valores que deverão ter no próximo mês.</t>
  </si>
  <si>
    <t>Funcionários</t>
  </si>
  <si>
    <t>Setembro</t>
  </si>
  <si>
    <t>Outubro</t>
  </si>
  <si>
    <t>Novembro</t>
  </si>
  <si>
    <t>Média</t>
  </si>
  <si>
    <t>Carlos</t>
  </si>
  <si>
    <t>Pedro</t>
  </si>
  <si>
    <t>José</t>
  </si>
  <si>
    <t>Manuel</t>
  </si>
  <si>
    <t>Kauã</t>
  </si>
  <si>
    <t>Murilo</t>
  </si>
  <si>
    <t>Samuel</t>
  </si>
  <si>
    <t>Primeiro</t>
  </si>
  <si>
    <t>Segundo</t>
  </si>
  <si>
    <t>Terceiro</t>
  </si>
  <si>
    <t>Ao final do mês de novembro a empresa faz a lista demissão dos funcionários, para isso  nos meses que antecede</t>
  </si>
  <si>
    <t xml:space="preserve">esta lista é apresentado a classificação dos 3 piores desempenho. </t>
  </si>
  <si>
    <t>Crie botões que ao clicar apresente, a cada mês, os nomes dos funcionários.</t>
  </si>
  <si>
    <t>Serão demitidos os que apresentarem as 3 piores médias, as médias deverão ter 1 casa decimal, com arredondamento de casas.</t>
  </si>
  <si>
    <t>Financiamento de Imóvel</t>
  </si>
  <si>
    <t>Valor do imóvel</t>
  </si>
  <si>
    <t>Valor do Salário</t>
  </si>
  <si>
    <t>Número de Meses</t>
  </si>
  <si>
    <t>Valor da Entrada</t>
  </si>
  <si>
    <t xml:space="preserve">Banco a ser Financiado </t>
  </si>
  <si>
    <t>Bradesco</t>
  </si>
  <si>
    <t>Valor a pagar</t>
  </si>
  <si>
    <t>???</t>
  </si>
  <si>
    <t>Tabela de Financiamento</t>
  </si>
  <si>
    <t>Unibanco</t>
  </si>
  <si>
    <t>Com Entrada</t>
  </si>
  <si>
    <t>Sem Entrada</t>
  </si>
  <si>
    <t>Dados:</t>
  </si>
  <si>
    <t>Se o número de prestação for superior a da tabela apresentar a mensagem</t>
  </si>
  <si>
    <t>"Prestação Invalida"</t>
  </si>
  <si>
    <t>Se for utilizado o financiamento do bradesco, utilizar a tabela do banco Bradesco e assim</t>
  </si>
  <si>
    <t xml:space="preserve">sucessivamente. Mas cuidado, pois o valor da prestação não pode ser superior a </t>
  </si>
  <si>
    <t>1/3 do salário, nesse caso apresentar a mensagem "Salário insuficiente"</t>
  </si>
  <si>
    <t>Se for digitado um banco diferente da tabela apresentar a mensagem</t>
  </si>
  <si>
    <t>"Banco não cadastrado"</t>
  </si>
  <si>
    <t>Cidade</t>
  </si>
  <si>
    <t>Comercial</t>
  </si>
  <si>
    <t>Semestre</t>
  </si>
  <si>
    <t>Valor</t>
  </si>
  <si>
    <t>Porto</t>
  </si>
  <si>
    <t>Norte</t>
  </si>
  <si>
    <t>Joaquim Soares</t>
  </si>
  <si>
    <t xml:space="preserve">Crie a tabela dinâmica dos valores por região e representante comercial e seus valores </t>
  </si>
  <si>
    <t>Guimarães</t>
  </si>
  <si>
    <t>Crie um gráfico que represente esses valores</t>
  </si>
  <si>
    <t>Vila Real</t>
  </si>
  <si>
    <t>Ana Fonseca</t>
  </si>
  <si>
    <t>Lisboa</t>
  </si>
  <si>
    <t>Centro</t>
  </si>
  <si>
    <t>Júlio Ferreira</t>
  </si>
  <si>
    <t>Estoril</t>
  </si>
  <si>
    <t>Beja</t>
  </si>
  <si>
    <t>Sul</t>
  </si>
  <si>
    <t>António Silva</t>
  </si>
  <si>
    <t>Coimbra</t>
  </si>
  <si>
    <t>Fernanda Cardoso</t>
  </si>
  <si>
    <t>Faro</t>
  </si>
  <si>
    <t>João Alves</t>
  </si>
  <si>
    <t>Tavira</t>
  </si>
  <si>
    <t>V.N Gaia</t>
  </si>
  <si>
    <t>Luisa Marques</t>
  </si>
  <si>
    <t>Produto</t>
  </si>
  <si>
    <t>Reagente</t>
  </si>
  <si>
    <t>Valor da composição</t>
  </si>
  <si>
    <t>dolar</t>
  </si>
  <si>
    <t xml:space="preserve">valor da venda </t>
  </si>
  <si>
    <t>valor do dolar</t>
  </si>
  <si>
    <t>Tabela de Produto</t>
  </si>
  <si>
    <t>Código do Produto</t>
  </si>
  <si>
    <t>Reagete</t>
  </si>
  <si>
    <t>Valor da Compra</t>
  </si>
  <si>
    <t>Variação para venda</t>
  </si>
  <si>
    <t xml:space="preserve">se o código não existir apresenta a mensagem Composto inválido, se a soma das porcentagem do produto com o reagente for </t>
  </si>
  <si>
    <t>superior a 100% apresentar a mensagem Composto invalido, senão apresentar o valor do custo da composição</t>
  </si>
  <si>
    <t>OBS.: o custo não é proporcional a porcentagem.</t>
  </si>
  <si>
    <t>Valor de Venda</t>
  </si>
  <si>
    <t>Se o valor da composição não existir apresentar a mensagem Composição invalida</t>
  </si>
  <si>
    <t xml:space="preserve">senão cálcule o valor da venda da composição de acordo com a tabela de variação de cada produto, obs, o valor de </t>
  </si>
  <si>
    <t>venda tem que ser apresentado em reais.</t>
  </si>
  <si>
    <t>Controle de Medicamento</t>
  </si>
  <si>
    <t>Medicamento 1</t>
  </si>
  <si>
    <t>Medicamento 2</t>
  </si>
  <si>
    <t>Peso do paciente</t>
  </si>
  <si>
    <t>Idade do paciente</t>
  </si>
  <si>
    <t>Quantidade a ser aplicado</t>
  </si>
  <si>
    <t>ml</t>
  </si>
  <si>
    <t xml:space="preserve">      Tabela de medicamento em ml</t>
  </si>
  <si>
    <t>Cód Medic</t>
  </si>
  <si>
    <t>Medic 1</t>
  </si>
  <si>
    <t>Medic 2</t>
  </si>
  <si>
    <t>Dados</t>
  </si>
  <si>
    <t>se for digitado algum medicamento  diferente da tabela apresentar a mensagem:</t>
  </si>
  <si>
    <t>"Medicamento inexistente favor redigitar"</t>
  </si>
  <si>
    <t>A quantidade de medicamento deve ser proporcional à idade; ou seja, multiplica o medicamento pela idade</t>
  </si>
  <si>
    <t xml:space="preserve">se a quantidade dos medicamentos for maior que o valor do peso do paciente apresentar a </t>
  </si>
  <si>
    <t>mensagem: "Composição invalida"</t>
  </si>
  <si>
    <t>senão apresenta o valor a ser aplicado do medicamento</t>
  </si>
  <si>
    <t>Alunos</t>
  </si>
  <si>
    <t>Cursos</t>
  </si>
  <si>
    <t>Mensalidades
Aberta</t>
  </si>
  <si>
    <t>Valor Total
da dívida</t>
  </si>
  <si>
    <t>Total a receber por curso</t>
  </si>
  <si>
    <t>V1</t>
  </si>
  <si>
    <t>Engenharia</t>
  </si>
  <si>
    <t>Medicina</t>
  </si>
  <si>
    <t>V2</t>
  </si>
  <si>
    <t>V3</t>
  </si>
  <si>
    <t>Computação</t>
  </si>
  <si>
    <t>V4</t>
  </si>
  <si>
    <t>Pedagogia</t>
  </si>
  <si>
    <t>V5</t>
  </si>
  <si>
    <t>V6</t>
  </si>
  <si>
    <t>V7</t>
  </si>
  <si>
    <t>V8</t>
  </si>
  <si>
    <t>V9</t>
  </si>
  <si>
    <t>V10</t>
  </si>
  <si>
    <t>Tabela dos Cursos</t>
  </si>
  <si>
    <t>Tabela de Juros</t>
  </si>
  <si>
    <t>Curso</t>
  </si>
  <si>
    <t>Valor Mensalidade</t>
  </si>
  <si>
    <t>Meses</t>
  </si>
  <si>
    <t>Porcentagem</t>
  </si>
  <si>
    <t>Valor a Pagar.</t>
  </si>
  <si>
    <t>Utilizar o valor de acordo com o curso, e a porcentagem da tabela de acordo com o úmero de meses em aberto</t>
  </si>
  <si>
    <t>Observação o valor total da dívida!!!</t>
  </si>
  <si>
    <t>Caso seja digitado algum curso diferente da tabela apresentar, curso digitado incorretamente.</t>
  </si>
  <si>
    <t>Ari</t>
  </si>
  <si>
    <t>Tau</t>
  </si>
  <si>
    <t>Gem</t>
  </si>
  <si>
    <t>Can</t>
  </si>
  <si>
    <t>Leo</t>
  </si>
  <si>
    <t>Vir</t>
  </si>
  <si>
    <t>Lib</t>
  </si>
  <si>
    <t>Sco</t>
  </si>
  <si>
    <t>Sag</t>
  </si>
  <si>
    <t>Cap</t>
  </si>
  <si>
    <t>Aqu</t>
  </si>
  <si>
    <t>Pis</t>
  </si>
  <si>
    <t>Signo 1</t>
  </si>
  <si>
    <t>Signo 2</t>
  </si>
  <si>
    <t>Chances</t>
  </si>
  <si>
    <t>Quero fazer uma planilha que, dados 2 signos, ela diga qual as chances amorosas entre os dois</t>
  </si>
  <si>
    <t>Use a função procv e proch</t>
  </si>
  <si>
    <t>Tipo de Material</t>
  </si>
  <si>
    <t>Ferro</t>
  </si>
  <si>
    <t>Valor da mercadoria</t>
  </si>
  <si>
    <t>Código da mercadoria</t>
  </si>
  <si>
    <t>Mão-de-obra</t>
  </si>
  <si>
    <t>Código da material</t>
  </si>
  <si>
    <t>Alumínio</t>
  </si>
  <si>
    <t>Plástico</t>
  </si>
  <si>
    <t>Cobre</t>
  </si>
  <si>
    <t>Cálcule o valor da mão-de-obra</t>
  </si>
  <si>
    <t>Se for digitado código diferente da tabela de código apresentar a mensagem "Código Invalido"</t>
  </si>
  <si>
    <t>Senão procure a porcentagem de acordo com o tipo de material</t>
  </si>
  <si>
    <t>Observação</t>
  </si>
  <si>
    <t>Alguns códigos não é possível desenvolver o trabalho (plástico), este apresenta porcentagem Zero</t>
  </si>
  <si>
    <t>quando isso ocorrer apresentar a mensagem "Não fazemos com este material"</t>
  </si>
  <si>
    <t>Cliente</t>
  </si>
  <si>
    <t>Quantidade 
Folhas</t>
  </si>
  <si>
    <t>Tipo de 
Material</t>
  </si>
  <si>
    <t>Valor Gasto</t>
  </si>
  <si>
    <t>Forma de 
Pagamento</t>
  </si>
  <si>
    <t>Valor a pagar 
por mês</t>
  </si>
  <si>
    <t>C1</t>
  </si>
  <si>
    <t>A</t>
  </si>
  <si>
    <t>1X</t>
  </si>
  <si>
    <t>C2</t>
  </si>
  <si>
    <t>B</t>
  </si>
  <si>
    <t>2X</t>
  </si>
  <si>
    <t>C3</t>
  </si>
  <si>
    <t>3X</t>
  </si>
  <si>
    <t>C4</t>
  </si>
  <si>
    <t>C</t>
  </si>
  <si>
    <t>4X</t>
  </si>
  <si>
    <t>C5</t>
  </si>
  <si>
    <t>D</t>
  </si>
  <si>
    <t>C6</t>
  </si>
  <si>
    <t>E</t>
  </si>
  <si>
    <t>C7</t>
  </si>
  <si>
    <t>5X</t>
  </si>
  <si>
    <t>C8</t>
  </si>
  <si>
    <t>C9</t>
  </si>
  <si>
    <t>C10</t>
  </si>
  <si>
    <t>Valor da folha por categoria</t>
  </si>
  <si>
    <t>Tabela de Desconto</t>
  </si>
  <si>
    <t>Total a receber em</t>
  </si>
  <si>
    <t xml:space="preserve">Dados: </t>
  </si>
  <si>
    <t>Se o tipo de material for da categoria A; utilizar o valor da categoria A; e assim sucessivamente</t>
  </si>
  <si>
    <t>Valor Pg/Mês</t>
  </si>
  <si>
    <t>Se for 1X usar a porcentagem da tabela de Desconto / acréscimo; e assim sucessivamente</t>
  </si>
  <si>
    <t>Tot receber</t>
  </si>
  <si>
    <t>Função somase</t>
  </si>
  <si>
    <t>Total</t>
  </si>
  <si>
    <t>Clientes</t>
  </si>
  <si>
    <t>Código da
Mercadoria</t>
  </si>
  <si>
    <t>Classifição</t>
  </si>
  <si>
    <t>Quantidade 
Comprada</t>
  </si>
  <si>
    <t>Total a Pagar</t>
  </si>
  <si>
    <t>Total Por Cidade</t>
  </si>
  <si>
    <t>Itu</t>
  </si>
  <si>
    <t>Vinho</t>
  </si>
  <si>
    <t>São João</t>
  </si>
  <si>
    <t>Cerveja</t>
  </si>
  <si>
    <t>São Paulo</t>
  </si>
  <si>
    <t>Pinga</t>
  </si>
  <si>
    <t>Valor da Caixa (com 10 unidades)</t>
  </si>
  <si>
    <t>Tabela de Transporte</t>
  </si>
  <si>
    <t>Código</t>
  </si>
  <si>
    <r>
      <t xml:space="preserve">Valor gasto: </t>
    </r>
    <r>
      <rPr>
        <sz val="11"/>
        <color theme="1"/>
        <rFont val="Calibri"/>
        <family val="2"/>
        <scheme val="minor"/>
      </rPr>
      <t>Calcule o valor gasto com a bebida de acordo com a tabela de valor da Caixa; se o código não existir apresente valor zero.</t>
    </r>
  </si>
  <si>
    <t xml:space="preserve"> Observe que a tabela apresenta o valor da caixa com 10 unidades. E o valor gasto deve ser incluido o valor do transporte de acordo com a cidade.</t>
  </si>
  <si>
    <r>
      <t>Total a Pagar: Sobre o Valor total (Valor da Bebida + transporte ), o</t>
    </r>
    <r>
      <rPr>
        <sz val="11"/>
        <color theme="1"/>
        <rFont val="Calibri"/>
        <family val="2"/>
        <scheme val="minor"/>
      </rPr>
      <t>ferecer um desconto de 10% para vendas de Vinho em Itu e 5% de desconto para São pAulo na Cereja e 7,5 de desconto para pinga em São João, os demais permanecer o valor Total.</t>
    </r>
  </si>
  <si>
    <t>Controle de Produção e Logística</t>
  </si>
  <si>
    <t>Tabela de quantidade produzida do produto por funcionário</t>
  </si>
  <si>
    <t>Janeiro</t>
  </si>
  <si>
    <t>Fevereiro</t>
  </si>
  <si>
    <t>Março</t>
  </si>
  <si>
    <t>Abril</t>
  </si>
  <si>
    <t>Paulo</t>
  </si>
  <si>
    <t>Anderson</t>
  </si>
  <si>
    <t>Fred</t>
  </si>
  <si>
    <t>Matheus</t>
  </si>
  <si>
    <t>Caio</t>
  </si>
  <si>
    <t>Marcelo</t>
  </si>
  <si>
    <t>Peterson</t>
  </si>
  <si>
    <t>Qtd Caixa</t>
  </si>
  <si>
    <t>A quantidade de produto por caixa é de 16 caixa</t>
  </si>
  <si>
    <t>Sobra Produto</t>
  </si>
  <si>
    <t>Carga: Em uma carga completa há 80 caixa</t>
  </si>
  <si>
    <t>Carga</t>
  </si>
  <si>
    <t>Obs.: As caixas e produtos que sobraram em um mês deve ser incluídas no próximo mês.</t>
  </si>
  <si>
    <t>Sobra Caixa</t>
  </si>
  <si>
    <t>Crie um botão para cada mês que ao clicar informa os 3 Primeiro funcionário do Mês, e o botão para limpar a classificação</t>
  </si>
  <si>
    <t>Classificação dos funcionários do Mês</t>
  </si>
  <si>
    <t xml:space="preserve">Primeiro </t>
  </si>
  <si>
    <t>AB1000</t>
  </si>
  <si>
    <t>Cálcule o valor a ser pago de acordo com a tabela de produto e a embalagem utilizada.</t>
  </si>
  <si>
    <t>Tipo de embalagem</t>
  </si>
  <si>
    <t>EMB1</t>
  </si>
  <si>
    <t>Observação se o valor a ser pago for superior a R$ 1000,00, oferecer um desconto de 1,5%.</t>
  </si>
  <si>
    <t>Fazer a validação para os produtos e Embalagens, de acordo com a tabela</t>
  </si>
  <si>
    <t>Valor Unitário</t>
  </si>
  <si>
    <t>Embalagem</t>
  </si>
  <si>
    <t>AB100</t>
  </si>
  <si>
    <t>AB200</t>
  </si>
  <si>
    <t>EMB2</t>
  </si>
  <si>
    <t>AB300</t>
  </si>
  <si>
    <t>EMB3</t>
  </si>
  <si>
    <t>AB400</t>
  </si>
  <si>
    <t>EMB4</t>
  </si>
  <si>
    <t>AB500</t>
  </si>
  <si>
    <t>EMB5</t>
  </si>
  <si>
    <t>AB600</t>
  </si>
  <si>
    <t>EMB6</t>
  </si>
  <si>
    <t>AB700</t>
  </si>
  <si>
    <t>EMB7</t>
  </si>
  <si>
    <t>AB800</t>
  </si>
  <si>
    <t>AB900</t>
  </si>
  <si>
    <t>AB1100</t>
  </si>
  <si>
    <t>AB1200</t>
  </si>
  <si>
    <t>AB1300</t>
  </si>
  <si>
    <t>AB1400</t>
  </si>
  <si>
    <t>AB1500</t>
  </si>
  <si>
    <t>Pedido</t>
  </si>
  <si>
    <t>Data do Pedido</t>
  </si>
  <si>
    <t>Tipo de Produto</t>
  </si>
  <si>
    <t>Data entrega</t>
  </si>
  <si>
    <t>Peso unitário (kg)</t>
  </si>
  <si>
    <t>outros custos de 
produção (unitário)</t>
  </si>
  <si>
    <t>Custo 
Unitário R$</t>
  </si>
  <si>
    <t xml:space="preserve">Venda 
Unitária R$ </t>
  </si>
  <si>
    <t>Lucro</t>
  </si>
  <si>
    <t>P01</t>
  </si>
  <si>
    <t>Indaiatuba</t>
  </si>
  <si>
    <t>metal</t>
  </si>
  <si>
    <t>P02</t>
  </si>
  <si>
    <t>Campinas</t>
  </si>
  <si>
    <t>P03</t>
  </si>
  <si>
    <t>papel</t>
  </si>
  <si>
    <t>P04</t>
  </si>
  <si>
    <t>P05</t>
  </si>
  <si>
    <t>borracha</t>
  </si>
  <si>
    <t>P06</t>
  </si>
  <si>
    <t>P07</t>
  </si>
  <si>
    <t>P08</t>
  </si>
  <si>
    <t>P09</t>
  </si>
  <si>
    <t>P10</t>
  </si>
  <si>
    <t>Material</t>
  </si>
  <si>
    <t>Tempo de 
Fabricação (dias)</t>
  </si>
  <si>
    <t>Preço do Kg (Dolar)</t>
  </si>
  <si>
    <t>Total por</t>
  </si>
  <si>
    <t>Borracha</t>
  </si>
  <si>
    <t>Papel</t>
  </si>
  <si>
    <t>Metal</t>
  </si>
  <si>
    <t>Valor do Dolar</t>
  </si>
  <si>
    <t>Cálculos</t>
  </si>
  <si>
    <t>Mão-de-Obra: se o pedido nao estiver com a data de entrega vencida, o valor por produto será de R$0,25, se o produto estiver com até 10 dias</t>
  </si>
  <si>
    <t>com a data vencida, o valor por produto será de R$ 0,32; senão será de R$ 0,42</t>
  </si>
  <si>
    <t>Custo Unitário: Calcule o custo unitário se baseando no peso das peças, a mão de obra e outros custos de produção</t>
  </si>
  <si>
    <r>
      <rPr>
        <b/>
        <sz val="11"/>
        <color theme="1"/>
        <rFont val="Calibri"/>
        <family val="2"/>
        <scheme val="minor"/>
      </rPr>
      <t>Venda Unitária</t>
    </r>
    <r>
      <rPr>
        <sz val="11"/>
        <color theme="1"/>
        <rFont val="Calibri"/>
        <family val="2"/>
        <scheme val="minor"/>
      </rPr>
      <t>: calcule a venda unitária de acordo com o custo unitáio e a porcentagem de variação</t>
    </r>
  </si>
  <si>
    <t>Lucro: calcule o lucre de acordo com a quantidade pedida.</t>
  </si>
  <si>
    <t>Calcule o total  por tipo de acordo com o tipo dde materia e a região (Cidade)</t>
  </si>
  <si>
    <t>Motorista</t>
  </si>
  <si>
    <t>Abel</t>
  </si>
  <si>
    <t>Destino</t>
  </si>
  <si>
    <t>Maceio</t>
  </si>
  <si>
    <t>Na célula B1 e B2, fazer uma lista com os valores da tabela</t>
  </si>
  <si>
    <t>Calcule o valor do frete</t>
  </si>
  <si>
    <t>Utilizando Procv ou Proch, calcule o valor da viagem de acordo com a diária do motorista e o tempo da viagem</t>
  </si>
  <si>
    <t>Obs.: Quando a viagem durar mais de 5 dias o motorista receberá uma ajuda de 26,7%</t>
  </si>
  <si>
    <t>Tabela de Motorista</t>
  </si>
  <si>
    <t>Tempo de viagem</t>
  </si>
  <si>
    <t>Nome</t>
  </si>
  <si>
    <t>Valor da Diária</t>
  </si>
  <si>
    <t>Tempo</t>
  </si>
  <si>
    <t>ABEL</t>
  </si>
  <si>
    <t>CIDADE</t>
  </si>
  <si>
    <t>DIAS</t>
  </si>
  <si>
    <t>ADAILSON</t>
  </si>
  <si>
    <t>MACEIO (CD)</t>
  </si>
  <si>
    <t>ADEMIR</t>
  </si>
  <si>
    <t>MACEIO</t>
  </si>
  <si>
    <t>ADEMIR NOGUEIRA</t>
  </si>
  <si>
    <t>SALVADOR</t>
  </si>
  <si>
    <t>ADEMILSON</t>
  </si>
  <si>
    <t>FORTALEZA</t>
  </si>
  <si>
    <t>ADERSON</t>
  </si>
  <si>
    <t>BRASILIA</t>
  </si>
  <si>
    <t>ADONIR</t>
  </si>
  <si>
    <t>CARIACICA</t>
  </si>
  <si>
    <t>ADRIANO</t>
  </si>
  <si>
    <t>LINHARES</t>
  </si>
  <si>
    <t>AGNALDO</t>
  </si>
  <si>
    <t>GOIANIA</t>
  </si>
  <si>
    <t>ALEXANDRE</t>
  </si>
  <si>
    <t>CONSELHEIRO LAFAIETE</t>
  </si>
  <si>
    <t>ALEXANDRE SOUSA</t>
  </si>
  <si>
    <t>CONTAGEM</t>
  </si>
  <si>
    <t>ALMEIDA</t>
  </si>
  <si>
    <t>CORONEL FABRICIANO</t>
  </si>
  <si>
    <t>ALVES</t>
  </si>
  <si>
    <t>MATIAS BARBOSA</t>
  </si>
  <si>
    <t>ANDERSON</t>
  </si>
  <si>
    <t>MONTES CLAROS</t>
  </si>
  <si>
    <t>ANTONIO CARLOS</t>
  </si>
  <si>
    <t>PASSOS</t>
  </si>
  <si>
    <t>ANTONIO ROBERTO</t>
  </si>
  <si>
    <t>VARGINHA</t>
  </si>
  <si>
    <t>BARBOSA</t>
  </si>
  <si>
    <t>SETE LAGOAS</t>
  </si>
  <si>
    <t>BELTRAME</t>
  </si>
  <si>
    <t>UBERLANDIA</t>
  </si>
  <si>
    <t>BROTTO</t>
  </si>
  <si>
    <t>JOAO PESSOA</t>
  </si>
  <si>
    <t xml:space="preserve">BRUNI </t>
  </si>
  <si>
    <t>CABO DE SANTO AGOSTINHO</t>
  </si>
  <si>
    <t>BRUNO FERREIRA</t>
  </si>
  <si>
    <t>RECIFE</t>
  </si>
  <si>
    <t>Cursos/Gastos</t>
  </si>
  <si>
    <t>Limpeza</t>
  </si>
  <si>
    <t>Laboratório</t>
  </si>
  <si>
    <t>Documentação</t>
  </si>
  <si>
    <t>Professores</t>
  </si>
  <si>
    <t>Impostos</t>
  </si>
  <si>
    <t>Outros</t>
  </si>
  <si>
    <t>Tabela de Cursos</t>
  </si>
  <si>
    <t>Matemática</t>
  </si>
  <si>
    <t>Eng. Química</t>
  </si>
  <si>
    <t>Enfermagem</t>
  </si>
  <si>
    <t>Administração</t>
  </si>
  <si>
    <t>Direito</t>
  </si>
  <si>
    <t>Tipo de Gasto</t>
  </si>
  <si>
    <t>Utilizando a função procv ou proch, mostre o valor do gasto de acordo com o curso e o gasto</t>
  </si>
  <si>
    <t>Faça a validação dos cursos e do tipo de gasto</t>
  </si>
  <si>
    <t>Alfredo</t>
  </si>
  <si>
    <t>água</t>
  </si>
  <si>
    <t>Energia</t>
  </si>
  <si>
    <t>Telefone</t>
  </si>
  <si>
    <t>Mês 1</t>
  </si>
  <si>
    <t>Mês 2</t>
  </si>
  <si>
    <t>Senha: senha</t>
  </si>
  <si>
    <t>Teste</t>
  </si>
  <si>
    <t>total</t>
  </si>
  <si>
    <t>oferecer um desconto de 10% para vendas de Vinho em Itu e 5% de desconto para São pAulo na Cereja e 7,5 de desconto para pinga em São João, os demais permanecer o valor Total.</t>
  </si>
  <si>
    <t>1º JAN</t>
  </si>
  <si>
    <t xml:space="preserve"> =ÍNDICE(A4:A13;CORRESP(MAIOR(B4:B13;1);B4:B13;0))</t>
  </si>
  <si>
    <t>2º JAN</t>
  </si>
  <si>
    <t>3º JAN</t>
  </si>
  <si>
    <t>1º FEV</t>
  </si>
  <si>
    <t>2º FEV</t>
  </si>
  <si>
    <t>3º FEV</t>
  </si>
  <si>
    <t>1º MAR</t>
  </si>
  <si>
    <t>2º MAR</t>
  </si>
  <si>
    <t>3º MAR</t>
  </si>
  <si>
    <t>1º ABR</t>
  </si>
  <si>
    <t>2º ABR</t>
  </si>
  <si>
    <t>3º ABR</t>
  </si>
  <si>
    <t xml:space="preserve"> =ÍNDICE(A4:A13;CORRESP(MAIOR(B4:B13;2);B4:B13;0))</t>
  </si>
  <si>
    <t xml:space="preserve"> =ÍNDICE(A4:A13;CORRESP(MAIOR(B4:B13;3);B4:B13;0))</t>
  </si>
  <si>
    <t xml:space="preserve"> =ÍNDICE(A4:A13;CORRESP(MAIOR(C4:C13;1);C4:C13;0))</t>
  </si>
  <si>
    <t xml:space="preserve"> =ÍNDICE(A4:A13;(1+CORRESP(MAIOR(C4:C13;3);C4:C13;0)))</t>
  </si>
  <si>
    <t xml:space="preserve"> =ÍNDICE(A4:A13;CORRESP(MAIOR(C4:C13;2);C4:C13;0))</t>
  </si>
  <si>
    <t xml:space="preserve"> =ÍNDICE(A4:A13;CORRESP(MAIOR(D4:D13;1);D4:D13;0))</t>
  </si>
  <si>
    <t xml:space="preserve"> =ÍNDICE(A4:A13;CORRESP(MAIOR(D4:D13;3);D4:D13;0))</t>
  </si>
  <si>
    <t xml:space="preserve"> =ÍNDICE(A4:A13;CORRESP(MAIOR(D4:D13;2);D4:D13;0))</t>
  </si>
  <si>
    <t xml:space="preserve"> =ÍNDICE(A4:A13;CORRESP(MAIOR(E4:E13;1);E4:E13;0))</t>
  </si>
  <si>
    <t xml:space="preserve"> =ÍNDICE(A4:A13;CORRESP(MAIOR(E4:E13;2);E4:E13;0))</t>
  </si>
  <si>
    <t xml:space="preserve"> =ÍNDICE(A4:A13;CORRESP(MAIOR(E4:E13;3);E4:E13;0))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</si>
</sst>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(&quot;R$ &quot;* #,##0.00_);_(&quot;R$ &quot;* \(#,##0.00\);_(&quot;R$ &quot;* &quot;-&quot;??_);_(@_)"/>
    <numFmt numFmtId="166" formatCode="0.000"/>
    <numFmt numFmtId="167" formatCode="[$$-409]#,##0.00_);\([$$-409]#,##0.00\)"/>
    <numFmt numFmtId="168" formatCode="0.0%"/>
    <numFmt numFmtId="169" formatCode="0.0"/>
    <numFmt numFmtId="170" formatCode="_-* #,##0.00\ _₽_-;\-* #,##0.00\ _₽_-;_-* &quot;-&quot;??\ _₽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i/>
      <sz val="10"/>
      <color indexed="9"/>
      <name val="Arial"/>
      <family val="2"/>
    </font>
    <font>
      <b/>
      <sz val="8"/>
      <name val="Arial"/>
      <family val="2"/>
    </font>
    <font>
      <sz val="10"/>
      <color theme="1"/>
      <name val="Trebuchet MS"/>
      <family val="2"/>
    </font>
    <font>
      <b/>
      <sz val="10"/>
      <color indexed="9"/>
      <name val="Trebuchet MS"/>
      <family val="2"/>
    </font>
    <font>
      <sz val="10"/>
      <name val="Trebuchet MS"/>
      <family val="2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4"/>
      <name val="Arial"/>
      <family val="2"/>
    </font>
    <font>
      <b/>
      <i/>
      <sz val="26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3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165" fontId="0" fillId="0" borderId="0" xfId="1" applyNumberFormat="1" applyFont="1"/>
    <xf numFmtId="0" fontId="0" fillId="0" borderId="3" xfId="0" applyBorder="1"/>
    <xf numFmtId="0" fontId="0" fillId="0" borderId="4" xfId="0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7" xfId="0" applyNumberFormat="1" applyBorder="1"/>
    <xf numFmtId="166" fontId="0" fillId="0" borderId="8" xfId="0" applyNumberFormat="1" applyBorder="1"/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/>
    <xf numFmtId="4" fontId="0" fillId="2" borderId="14" xfId="3" applyNumberFormat="1" applyFont="1" applyFill="1" applyBorder="1"/>
    <xf numFmtId="0" fontId="0" fillId="3" borderId="15" xfId="0" applyFill="1" applyBorder="1"/>
    <xf numFmtId="0" fontId="0" fillId="3" borderId="16" xfId="0" applyFill="1" applyBorder="1"/>
    <xf numFmtId="4" fontId="0" fillId="2" borderId="17" xfId="3" applyNumberFormat="1" applyFont="1" applyFill="1" applyBorder="1"/>
    <xf numFmtId="0" fontId="0" fillId="3" borderId="0" xfId="0" applyFill="1"/>
    <xf numFmtId="0" fontId="0" fillId="3" borderId="18" xfId="0" applyFill="1" applyBorder="1"/>
    <xf numFmtId="0" fontId="0" fillId="3" borderId="19" xfId="0" applyFill="1" applyBorder="1"/>
    <xf numFmtId="4" fontId="0" fillId="2" borderId="20" xfId="3" applyNumberFormat="1" applyFont="1" applyFill="1" applyBorder="1"/>
    <xf numFmtId="164" fontId="0" fillId="0" borderId="0" xfId="1" applyFont="1"/>
    <xf numFmtId="0" fontId="0" fillId="0" borderId="16" xfId="0" applyBorder="1"/>
    <xf numFmtId="9" fontId="0" fillId="0" borderId="16" xfId="2" applyFont="1" applyBorder="1"/>
    <xf numFmtId="167" fontId="0" fillId="0" borderId="16" xfId="1" applyNumberFormat="1" applyFont="1" applyBorder="1"/>
    <xf numFmtId="0" fontId="6" fillId="0" borderId="0" xfId="0" applyFont="1"/>
    <xf numFmtId="0" fontId="6" fillId="0" borderId="16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0" fillId="4" borderId="21" xfId="0" applyFill="1" applyBorder="1" applyAlignment="1">
      <alignment wrapText="1"/>
    </xf>
    <xf numFmtId="0" fontId="0" fillId="5" borderId="21" xfId="0" applyFill="1" applyBorder="1" applyAlignment="1">
      <alignment wrapText="1"/>
    </xf>
    <xf numFmtId="9" fontId="0" fillId="6" borderId="21" xfId="0" applyNumberFormat="1" applyFill="1" applyBorder="1" applyAlignment="1">
      <alignment horizontal="right" wrapText="1"/>
    </xf>
    <xf numFmtId="9" fontId="0" fillId="6" borderId="22" xfId="0" applyNumberFormat="1" applyFill="1" applyBorder="1" applyAlignment="1">
      <alignment horizontal="right" wrapText="1"/>
    </xf>
    <xf numFmtId="0" fontId="0" fillId="7" borderId="16" xfId="0" applyFill="1" applyBorder="1" applyAlignment="1">
      <alignment wrapText="1"/>
    </xf>
    <xf numFmtId="9" fontId="0" fillId="6" borderId="23" xfId="0" applyNumberFormat="1" applyFill="1" applyBorder="1" applyAlignment="1">
      <alignment horizontal="right" wrapText="1"/>
    </xf>
    <xf numFmtId="9" fontId="0" fillId="6" borderId="24" xfId="0" applyNumberFormat="1" applyFill="1" applyBorder="1" applyAlignment="1">
      <alignment horizontal="right" wrapText="1"/>
    </xf>
    <xf numFmtId="0" fontId="0" fillId="8" borderId="16" xfId="0" applyFill="1" applyBorder="1" applyAlignment="1">
      <alignment wrapText="1"/>
    </xf>
    <xf numFmtId="165" fontId="0" fillId="0" borderId="0" xfId="0" applyNumberFormat="1"/>
    <xf numFmtId="165" fontId="7" fillId="2" borderId="0" xfId="1" applyNumberFormat="1" applyFont="1" applyFill="1"/>
    <xf numFmtId="0" fontId="8" fillId="0" borderId="16" xfId="0" applyFont="1" applyBorder="1" applyAlignment="1">
      <alignment horizontal="center"/>
    </xf>
    <xf numFmtId="0" fontId="8" fillId="0" borderId="16" xfId="0" applyFont="1" applyBorder="1" applyAlignment="1">
      <alignment horizontal="center" wrapText="1"/>
    </xf>
    <xf numFmtId="168" fontId="0" fillId="0" borderId="16" xfId="2" applyNumberFormat="1" applyFont="1" applyBorder="1"/>
    <xf numFmtId="168" fontId="0" fillId="0" borderId="16" xfId="0" applyNumberFormat="1" applyBorder="1"/>
    <xf numFmtId="0" fontId="0" fillId="0" borderId="16" xfId="0" applyBorder="1" applyAlignment="1">
      <alignment wrapText="1"/>
    </xf>
    <xf numFmtId="165" fontId="5" fillId="2" borderId="16" xfId="1" applyNumberFormat="1" applyFont="1" applyFill="1" applyBorder="1"/>
    <xf numFmtId="0" fontId="0" fillId="0" borderId="16" xfId="0" applyBorder="1" applyAlignment="1">
      <alignment horizontal="center"/>
    </xf>
    <xf numFmtId="165" fontId="3" fillId="0" borderId="16" xfId="1" applyNumberFormat="1" applyFont="1" applyBorder="1" applyAlignment="1">
      <alignment horizontal="center"/>
    </xf>
    <xf numFmtId="0" fontId="0" fillId="0" borderId="0" xfId="0" applyFill="1" applyBorder="1" applyAlignment="1"/>
    <xf numFmtId="0" fontId="6" fillId="0" borderId="0" xfId="0" applyFont="1" applyFill="1" applyBorder="1" applyAlignment="1">
      <alignment horizontal="center"/>
    </xf>
    <xf numFmtId="0" fontId="0" fillId="9" borderId="16" xfId="0" applyFill="1" applyBorder="1"/>
    <xf numFmtId="0" fontId="0" fillId="9" borderId="16" xfId="0" applyFill="1" applyBorder="1" applyAlignment="1">
      <alignment wrapText="1"/>
    </xf>
    <xf numFmtId="0" fontId="2" fillId="0" borderId="0" xfId="0" applyFont="1"/>
    <xf numFmtId="0" fontId="0" fillId="10" borderId="16" xfId="0" applyFill="1" applyBorder="1"/>
    <xf numFmtId="16" fontId="0" fillId="0" borderId="0" xfId="0" applyNumberFormat="1"/>
    <xf numFmtId="9" fontId="0" fillId="0" borderId="0" xfId="0" applyNumberFormat="1"/>
    <xf numFmtId="0" fontId="0" fillId="12" borderId="16" xfId="0" applyFill="1" applyBorder="1"/>
    <xf numFmtId="0" fontId="9" fillId="0" borderId="16" xfId="0" applyFont="1" applyBorder="1"/>
    <xf numFmtId="0" fontId="10" fillId="13" borderId="16" xfId="0" applyFont="1" applyFill="1" applyBorder="1" applyAlignment="1">
      <alignment horizontal="center"/>
    </xf>
    <xf numFmtId="3" fontId="10" fillId="13" borderId="16" xfId="0" applyNumberFormat="1" applyFont="1" applyFill="1" applyBorder="1" applyAlignment="1">
      <alignment horizontal="center"/>
    </xf>
    <xf numFmtId="0" fontId="11" fillId="0" borderId="25" xfId="0" applyFont="1" applyBorder="1"/>
    <xf numFmtId="0" fontId="11" fillId="0" borderId="26" xfId="0" applyFont="1" applyBorder="1" applyAlignment="1">
      <alignment horizontal="center"/>
    </xf>
    <xf numFmtId="0" fontId="11" fillId="0" borderId="26" xfId="0" applyFont="1" applyBorder="1"/>
    <xf numFmtId="0" fontId="11" fillId="0" borderId="26" xfId="0" applyFont="1" applyFill="1" applyBorder="1"/>
    <xf numFmtId="0" fontId="11" fillId="0" borderId="26" xfId="0" applyFont="1" applyFill="1" applyBorder="1" applyAlignment="1">
      <alignment horizontal="center"/>
    </xf>
    <xf numFmtId="0" fontId="12" fillId="0" borderId="0" xfId="0" applyFont="1" applyFill="1"/>
    <xf numFmtId="0" fontId="0" fillId="0" borderId="0" xfId="0" applyProtection="1">
      <protection locked="0"/>
    </xf>
    <xf numFmtId="0" fontId="13" fillId="0" borderId="0" xfId="0" applyFont="1" applyProtection="1">
      <protection locked="0"/>
    </xf>
    <xf numFmtId="16" fontId="13" fillId="0" borderId="0" xfId="0" applyNumberFormat="1" applyFont="1"/>
    <xf numFmtId="0" fontId="14" fillId="0" borderId="0" xfId="0" applyFont="1"/>
    <xf numFmtId="0" fontId="16" fillId="0" borderId="0" xfId="0" applyFont="1"/>
    <xf numFmtId="43" fontId="15" fillId="0" borderId="0" xfId="0" applyNumberFormat="1" applyFont="1"/>
    <xf numFmtId="169" fontId="0" fillId="0" borderId="0" xfId="0" applyNumberFormat="1" applyProtection="1">
      <protection locked="0"/>
    </xf>
    <xf numFmtId="167" fontId="17" fillId="0" borderId="16" xfId="1" applyNumberFormat="1" applyFont="1" applyBorder="1"/>
    <xf numFmtId="165" fontId="17" fillId="0" borderId="0" xfId="1" applyNumberFormat="1" applyFont="1"/>
    <xf numFmtId="165" fontId="18" fillId="8" borderId="0" xfId="1" applyNumberFormat="1" applyFont="1" applyFill="1"/>
    <xf numFmtId="0" fontId="0" fillId="0" borderId="0" xfId="0" applyNumberFormat="1"/>
    <xf numFmtId="0" fontId="0" fillId="0" borderId="0" xfId="0" applyAlignment="1">
      <alignment horizontal="left"/>
    </xf>
    <xf numFmtId="170" fontId="0" fillId="0" borderId="0" xfId="0" applyNumberFormat="1"/>
    <xf numFmtId="0" fontId="20" fillId="0" borderId="27" xfId="0" applyFont="1" applyFill="1" applyBorder="1"/>
    <xf numFmtId="0" fontId="20" fillId="0" borderId="0" xfId="0" applyFont="1"/>
    <xf numFmtId="0" fontId="21" fillId="0" borderId="0" xfId="0" applyFont="1"/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16" xfId="0" applyBorder="1" applyAlignment="1">
      <alignment horizontal="left"/>
    </xf>
    <xf numFmtId="0" fontId="0" fillId="9" borderId="16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27" xfId="0" applyFill="1" applyBorder="1"/>
    <xf numFmtId="0" fontId="0" fillId="10" borderId="28" xfId="0" applyFill="1" applyBorder="1"/>
    <xf numFmtId="0" fontId="0" fillId="10" borderId="0" xfId="0" applyFill="1" applyBorder="1"/>
  </cellXfs>
  <cellStyles count="4">
    <cellStyle name="Euro" xfId="3" xr:uid="{00000000-0005-0000-0000-000000000000}"/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19050</xdr:rowOff>
        </xdr:from>
        <xdr:to>
          <xdr:col>0</xdr:col>
          <xdr:colOff>1066800</xdr:colOff>
          <xdr:row>12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Primeiro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13</xdr:row>
          <xdr:rowOff>38100</xdr:rowOff>
        </xdr:from>
        <xdr:to>
          <xdr:col>0</xdr:col>
          <xdr:colOff>1028700</xdr:colOff>
          <xdr:row>13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Segundo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38100</xdr:rowOff>
        </xdr:from>
        <xdr:to>
          <xdr:col>0</xdr:col>
          <xdr:colOff>1066800</xdr:colOff>
          <xdr:row>14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Terceiro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20</xdr:row>
          <xdr:rowOff>0</xdr:rowOff>
        </xdr:from>
        <xdr:to>
          <xdr:col>9</xdr:col>
          <xdr:colOff>57150</xdr:colOff>
          <xdr:row>22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3B76E637-BD5A-49EA-BCB2-AFC0B8515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Botão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20</xdr:row>
          <xdr:rowOff>19050</xdr:rowOff>
        </xdr:from>
        <xdr:to>
          <xdr:col>11</xdr:col>
          <xdr:colOff>323850</xdr:colOff>
          <xdr:row>22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CF6B4311-3827-47AE-8E46-10A3E7F3C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Janeiro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20</xdr:row>
          <xdr:rowOff>9525</xdr:rowOff>
        </xdr:from>
        <xdr:to>
          <xdr:col>14</xdr:col>
          <xdr:colOff>9525</xdr:colOff>
          <xdr:row>21</xdr:row>
          <xdr:rowOff>180975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E0989886-C195-45E3-B64A-DDACB2091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Fevereiro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20</xdr:row>
          <xdr:rowOff>0</xdr:rowOff>
        </xdr:from>
        <xdr:to>
          <xdr:col>16</xdr:col>
          <xdr:colOff>257175</xdr:colOff>
          <xdr:row>21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5BD5DB6C-796F-4437-BD89-69B4A548B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Março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581025</xdr:colOff>
          <xdr:row>20</xdr:row>
          <xdr:rowOff>0</xdr:rowOff>
        </xdr:from>
        <xdr:to>
          <xdr:col>18</xdr:col>
          <xdr:colOff>571500</xdr:colOff>
          <xdr:row>21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56EA4983-9341-4017-A70F-833BE6AAD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23</xdr:row>
          <xdr:rowOff>47625</xdr:rowOff>
        </xdr:from>
        <xdr:to>
          <xdr:col>12</xdr:col>
          <xdr:colOff>561975</xdr:colOff>
          <xdr:row>25</xdr:row>
          <xdr:rowOff>28575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B26D031A-619A-4DC4-8823-B1B8EF8C8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classif.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M73"/>
  <sheetViews>
    <sheetView workbookViewId="0">
      <selection activeCell="G10" sqref="G10"/>
    </sheetView>
  </sheetViews>
  <sheetFormatPr defaultRowHeight="15" x14ac:dyDescent="0.25"/>
  <cols>
    <col min="8" max="8" width="18" customWidth="1"/>
    <col min="9" max="9" width="17.5703125" customWidth="1"/>
    <col min="10" max="10" width="19.7109375" bestFit="1" customWidth="1"/>
  </cols>
  <sheetData>
    <row r="1" spans="1:13" ht="30" x14ac:dyDescent="0.25">
      <c r="A1" t="s">
        <v>0</v>
      </c>
      <c r="B1" s="1" t="s">
        <v>1</v>
      </c>
      <c r="C1" t="s">
        <v>2</v>
      </c>
      <c r="D1" t="s">
        <v>3</v>
      </c>
      <c r="F1" t="s">
        <v>4</v>
      </c>
      <c r="M1" s="1"/>
    </row>
    <row r="2" spans="1:13" x14ac:dyDescent="0.25">
      <c r="A2" t="s">
        <v>5</v>
      </c>
      <c r="B2">
        <v>2000</v>
      </c>
      <c r="C2" t="s">
        <v>12</v>
      </c>
      <c r="D2">
        <v>23</v>
      </c>
    </row>
    <row r="3" spans="1:13" x14ac:dyDescent="0.25">
      <c r="A3" t="s">
        <v>5</v>
      </c>
      <c r="B3">
        <v>200</v>
      </c>
      <c r="C3" t="s">
        <v>12</v>
      </c>
      <c r="D3">
        <v>52</v>
      </c>
      <c r="F3" t="s">
        <v>8</v>
      </c>
    </row>
    <row r="4" spans="1:13" x14ac:dyDescent="0.25">
      <c r="A4" t="s">
        <v>5</v>
      </c>
      <c r="B4">
        <v>200</v>
      </c>
      <c r="C4" t="s">
        <v>12</v>
      </c>
      <c r="D4">
        <v>56</v>
      </c>
    </row>
    <row r="5" spans="1:13" x14ac:dyDescent="0.25">
      <c r="A5" t="s">
        <v>7</v>
      </c>
      <c r="B5">
        <v>780</v>
      </c>
      <c r="C5" t="s">
        <v>12</v>
      </c>
      <c r="D5">
        <v>32</v>
      </c>
    </row>
    <row r="6" spans="1:13" x14ac:dyDescent="0.25">
      <c r="A6" t="s">
        <v>10</v>
      </c>
      <c r="B6">
        <v>200</v>
      </c>
      <c r="C6" t="s">
        <v>12</v>
      </c>
      <c r="D6">
        <v>41</v>
      </c>
    </row>
    <row r="7" spans="1:13" x14ac:dyDescent="0.25">
      <c r="A7" t="s">
        <v>10</v>
      </c>
      <c r="B7">
        <v>2000</v>
      </c>
      <c r="C7" t="s">
        <v>12</v>
      </c>
      <c r="D7">
        <v>25</v>
      </c>
    </row>
    <row r="8" spans="1:13" x14ac:dyDescent="0.25">
      <c r="A8" t="s">
        <v>10</v>
      </c>
      <c r="B8">
        <v>2000</v>
      </c>
      <c r="C8" t="s">
        <v>12</v>
      </c>
      <c r="D8">
        <v>65</v>
      </c>
      <c r="H8" s="78"/>
      <c r="I8" s="77"/>
    </row>
    <row r="9" spans="1:13" x14ac:dyDescent="0.25">
      <c r="A9" t="s">
        <v>10</v>
      </c>
      <c r="B9">
        <v>2000</v>
      </c>
      <c r="C9" t="s">
        <v>12</v>
      </c>
      <c r="D9">
        <v>95</v>
      </c>
      <c r="H9" s="78"/>
      <c r="I9" s="77"/>
    </row>
    <row r="10" spans="1:13" x14ac:dyDescent="0.25">
      <c r="A10" t="s">
        <v>10</v>
      </c>
      <c r="B10">
        <v>200</v>
      </c>
      <c r="C10" t="s">
        <v>12</v>
      </c>
      <c r="D10">
        <v>32</v>
      </c>
      <c r="H10" s="78"/>
      <c r="I10" s="77"/>
    </row>
    <row r="11" spans="1:13" x14ac:dyDescent="0.25">
      <c r="A11" t="s">
        <v>10</v>
      </c>
      <c r="B11">
        <v>2000</v>
      </c>
      <c r="C11" t="s">
        <v>12</v>
      </c>
      <c r="D11">
        <v>25</v>
      </c>
      <c r="H11" s="78"/>
      <c r="I11" s="77"/>
    </row>
    <row r="12" spans="1:13" x14ac:dyDescent="0.25">
      <c r="A12" t="s">
        <v>10</v>
      </c>
      <c r="B12">
        <v>200</v>
      </c>
      <c r="C12" t="s">
        <v>12</v>
      </c>
      <c r="D12">
        <v>56</v>
      </c>
      <c r="H12" s="78"/>
      <c r="I12" s="77"/>
    </row>
    <row r="13" spans="1:13" x14ac:dyDescent="0.25">
      <c r="A13" t="s">
        <v>10</v>
      </c>
      <c r="B13">
        <v>200</v>
      </c>
      <c r="C13" t="s">
        <v>12</v>
      </c>
      <c r="D13">
        <v>52</v>
      </c>
    </row>
    <row r="14" spans="1:13" x14ac:dyDescent="0.25">
      <c r="A14" t="s">
        <v>11</v>
      </c>
      <c r="B14">
        <v>200</v>
      </c>
      <c r="C14" t="s">
        <v>12</v>
      </c>
      <c r="D14">
        <v>98</v>
      </c>
    </row>
    <row r="15" spans="1:13" x14ac:dyDescent="0.25">
      <c r="A15" t="s">
        <v>11</v>
      </c>
      <c r="B15">
        <v>200</v>
      </c>
      <c r="C15" t="s">
        <v>12</v>
      </c>
      <c r="D15">
        <v>62</v>
      </c>
    </row>
    <row r="16" spans="1:13" x14ac:dyDescent="0.25">
      <c r="A16" t="s">
        <v>11</v>
      </c>
      <c r="B16">
        <v>200</v>
      </c>
      <c r="C16" t="s">
        <v>12</v>
      </c>
      <c r="D16">
        <v>62</v>
      </c>
    </row>
    <row r="17" spans="1:4" x14ac:dyDescent="0.25">
      <c r="A17" t="s">
        <v>11</v>
      </c>
      <c r="B17">
        <v>200</v>
      </c>
      <c r="C17" t="s">
        <v>12</v>
      </c>
      <c r="D17">
        <v>65</v>
      </c>
    </row>
    <row r="18" spans="1:4" x14ac:dyDescent="0.25">
      <c r="A18" t="s">
        <v>11</v>
      </c>
      <c r="B18">
        <v>200</v>
      </c>
      <c r="C18" t="s">
        <v>12</v>
      </c>
      <c r="D18">
        <v>32</v>
      </c>
    </row>
    <row r="19" spans="1:4" x14ac:dyDescent="0.25">
      <c r="A19" t="s">
        <v>11</v>
      </c>
      <c r="B19">
        <v>200</v>
      </c>
      <c r="C19" t="s">
        <v>12</v>
      </c>
      <c r="D19">
        <v>65</v>
      </c>
    </row>
    <row r="20" spans="1:4" x14ac:dyDescent="0.25">
      <c r="A20" t="s">
        <v>11</v>
      </c>
      <c r="B20">
        <v>2000</v>
      </c>
      <c r="C20" t="s">
        <v>12</v>
      </c>
      <c r="D20">
        <v>82</v>
      </c>
    </row>
    <row r="21" spans="1:4" x14ac:dyDescent="0.25">
      <c r="A21" t="s">
        <v>11</v>
      </c>
      <c r="B21">
        <v>200</v>
      </c>
      <c r="C21" t="s">
        <v>12</v>
      </c>
      <c r="D21">
        <v>23</v>
      </c>
    </row>
    <row r="22" spans="1:4" x14ac:dyDescent="0.25">
      <c r="A22" t="s">
        <v>11</v>
      </c>
      <c r="B22">
        <v>2000</v>
      </c>
      <c r="C22" t="s">
        <v>12</v>
      </c>
      <c r="D22">
        <v>35</v>
      </c>
    </row>
    <row r="23" spans="1:4" x14ac:dyDescent="0.25">
      <c r="A23" t="s">
        <v>11</v>
      </c>
      <c r="B23">
        <v>2000</v>
      </c>
      <c r="C23" t="s">
        <v>12</v>
      </c>
      <c r="D23">
        <v>62</v>
      </c>
    </row>
    <row r="24" spans="1:4" x14ac:dyDescent="0.25">
      <c r="A24" t="s">
        <v>5</v>
      </c>
      <c r="B24">
        <v>200</v>
      </c>
      <c r="C24" t="s">
        <v>13</v>
      </c>
      <c r="D24">
        <v>50</v>
      </c>
    </row>
    <row r="25" spans="1:4" x14ac:dyDescent="0.25">
      <c r="A25" t="s">
        <v>5</v>
      </c>
      <c r="B25">
        <v>6000</v>
      </c>
      <c r="C25" t="s">
        <v>13</v>
      </c>
      <c r="D25">
        <v>32</v>
      </c>
    </row>
    <row r="26" spans="1:4" x14ac:dyDescent="0.25">
      <c r="A26" t="s">
        <v>7</v>
      </c>
      <c r="B26">
        <v>6000</v>
      </c>
      <c r="C26" t="s">
        <v>13</v>
      </c>
      <c r="D26">
        <v>23</v>
      </c>
    </row>
    <row r="27" spans="1:4" x14ac:dyDescent="0.25">
      <c r="A27" t="s">
        <v>7</v>
      </c>
      <c r="B27">
        <v>6000</v>
      </c>
      <c r="C27" t="s">
        <v>13</v>
      </c>
      <c r="D27">
        <v>23</v>
      </c>
    </row>
    <row r="28" spans="1:4" x14ac:dyDescent="0.25">
      <c r="A28" t="s">
        <v>10</v>
      </c>
      <c r="B28">
        <v>200</v>
      </c>
      <c r="C28" t="s">
        <v>13</v>
      </c>
      <c r="D28">
        <v>23</v>
      </c>
    </row>
    <row r="29" spans="1:4" x14ac:dyDescent="0.25">
      <c r="A29" t="s">
        <v>10</v>
      </c>
      <c r="B29">
        <v>6000</v>
      </c>
      <c r="C29" t="s">
        <v>13</v>
      </c>
      <c r="D29">
        <v>25</v>
      </c>
    </row>
    <row r="30" spans="1:4" x14ac:dyDescent="0.25">
      <c r="A30" t="s">
        <v>11</v>
      </c>
      <c r="B30">
        <v>200</v>
      </c>
      <c r="C30" t="s">
        <v>13</v>
      </c>
      <c r="D30">
        <v>31</v>
      </c>
    </row>
    <row r="31" spans="1:4" x14ac:dyDescent="0.25">
      <c r="A31" t="s">
        <v>11</v>
      </c>
      <c r="B31">
        <v>200</v>
      </c>
      <c r="C31" t="s">
        <v>13</v>
      </c>
      <c r="D31">
        <v>23</v>
      </c>
    </row>
    <row r="32" spans="1:4" x14ac:dyDescent="0.25">
      <c r="A32" t="s">
        <v>5</v>
      </c>
      <c r="B32">
        <v>100</v>
      </c>
      <c r="C32" t="s">
        <v>9</v>
      </c>
      <c r="D32">
        <v>60</v>
      </c>
    </row>
    <row r="33" spans="1:4" x14ac:dyDescent="0.25">
      <c r="A33" t="s">
        <v>5</v>
      </c>
      <c r="B33">
        <v>1000</v>
      </c>
      <c r="C33" t="s">
        <v>9</v>
      </c>
      <c r="D33">
        <v>50</v>
      </c>
    </row>
    <row r="34" spans="1:4" x14ac:dyDescent="0.25">
      <c r="A34" t="s">
        <v>5</v>
      </c>
      <c r="B34">
        <v>1000</v>
      </c>
      <c r="C34" t="s">
        <v>9</v>
      </c>
      <c r="D34">
        <v>25</v>
      </c>
    </row>
    <row r="35" spans="1:4" x14ac:dyDescent="0.25">
      <c r="A35" t="s">
        <v>5</v>
      </c>
      <c r="B35">
        <v>100</v>
      </c>
      <c r="C35" t="s">
        <v>9</v>
      </c>
      <c r="D35">
        <v>65</v>
      </c>
    </row>
    <row r="36" spans="1:4" x14ac:dyDescent="0.25">
      <c r="A36" t="s">
        <v>5</v>
      </c>
      <c r="B36">
        <v>100</v>
      </c>
      <c r="C36" t="s">
        <v>9</v>
      </c>
      <c r="D36">
        <v>35</v>
      </c>
    </row>
    <row r="37" spans="1:4" x14ac:dyDescent="0.25">
      <c r="A37" t="s">
        <v>5</v>
      </c>
      <c r="B37">
        <v>100</v>
      </c>
      <c r="C37" t="s">
        <v>9</v>
      </c>
      <c r="D37">
        <v>41</v>
      </c>
    </row>
    <row r="38" spans="1:4" x14ac:dyDescent="0.25">
      <c r="A38" t="s">
        <v>5</v>
      </c>
      <c r="B38">
        <v>1000</v>
      </c>
      <c r="C38" t="s">
        <v>9</v>
      </c>
      <c r="D38">
        <v>65</v>
      </c>
    </row>
    <row r="39" spans="1:4" x14ac:dyDescent="0.25">
      <c r="A39" t="s">
        <v>5</v>
      </c>
      <c r="B39">
        <v>450</v>
      </c>
      <c r="C39" t="s">
        <v>9</v>
      </c>
      <c r="D39">
        <v>23</v>
      </c>
    </row>
    <row r="40" spans="1:4" x14ac:dyDescent="0.25">
      <c r="A40" t="s">
        <v>7</v>
      </c>
      <c r="B40">
        <v>100</v>
      </c>
      <c r="C40" t="s">
        <v>9</v>
      </c>
      <c r="D40">
        <v>82</v>
      </c>
    </row>
    <row r="41" spans="1:4" x14ac:dyDescent="0.25">
      <c r="A41" t="s">
        <v>7</v>
      </c>
      <c r="B41">
        <v>450</v>
      </c>
      <c r="C41" t="s">
        <v>9</v>
      </c>
      <c r="D41">
        <v>32</v>
      </c>
    </row>
    <row r="42" spans="1:4" x14ac:dyDescent="0.25">
      <c r="A42" t="s">
        <v>7</v>
      </c>
      <c r="B42">
        <v>1000</v>
      </c>
      <c r="C42" t="s">
        <v>9</v>
      </c>
      <c r="D42">
        <v>62</v>
      </c>
    </row>
    <row r="43" spans="1:4" x14ac:dyDescent="0.25">
      <c r="A43" t="s">
        <v>7</v>
      </c>
      <c r="B43">
        <v>450</v>
      </c>
      <c r="C43" t="s">
        <v>9</v>
      </c>
      <c r="D43">
        <v>15</v>
      </c>
    </row>
    <row r="44" spans="1:4" x14ac:dyDescent="0.25">
      <c r="A44" t="s">
        <v>7</v>
      </c>
      <c r="B44">
        <v>100</v>
      </c>
      <c r="C44" t="s">
        <v>9</v>
      </c>
      <c r="D44">
        <v>32</v>
      </c>
    </row>
    <row r="45" spans="1:4" x14ac:dyDescent="0.25">
      <c r="A45" t="s">
        <v>10</v>
      </c>
      <c r="B45">
        <v>100</v>
      </c>
      <c r="C45" t="s">
        <v>9</v>
      </c>
      <c r="D45">
        <v>25</v>
      </c>
    </row>
    <row r="46" spans="1:4" x14ac:dyDescent="0.25">
      <c r="A46" t="s">
        <v>10</v>
      </c>
      <c r="B46">
        <v>450</v>
      </c>
      <c r="C46" t="s">
        <v>9</v>
      </c>
      <c r="D46">
        <v>14</v>
      </c>
    </row>
    <row r="47" spans="1:4" x14ac:dyDescent="0.25">
      <c r="A47" t="s">
        <v>10</v>
      </c>
      <c r="B47">
        <v>100</v>
      </c>
      <c r="C47" t="s">
        <v>9</v>
      </c>
      <c r="D47">
        <v>45</v>
      </c>
    </row>
    <row r="48" spans="1:4" x14ac:dyDescent="0.25">
      <c r="A48" t="s">
        <v>5</v>
      </c>
      <c r="B48">
        <v>100</v>
      </c>
      <c r="C48" t="s">
        <v>6</v>
      </c>
      <c r="D48">
        <v>20</v>
      </c>
    </row>
    <row r="49" spans="1:4" x14ac:dyDescent="0.25">
      <c r="A49" t="s">
        <v>5</v>
      </c>
      <c r="B49">
        <v>1000</v>
      </c>
      <c r="C49" t="s">
        <v>6</v>
      </c>
      <c r="D49">
        <v>65</v>
      </c>
    </row>
    <row r="50" spans="1:4" x14ac:dyDescent="0.25">
      <c r="A50" t="s">
        <v>5</v>
      </c>
      <c r="B50">
        <v>200</v>
      </c>
      <c r="C50" t="s">
        <v>6</v>
      </c>
      <c r="D50">
        <v>45</v>
      </c>
    </row>
    <row r="51" spans="1:4" x14ac:dyDescent="0.25">
      <c r="A51" t="s">
        <v>5</v>
      </c>
      <c r="B51">
        <v>5000</v>
      </c>
      <c r="C51" t="s">
        <v>6</v>
      </c>
      <c r="D51">
        <v>56</v>
      </c>
    </row>
    <row r="52" spans="1:4" x14ac:dyDescent="0.25">
      <c r="A52" t="s">
        <v>5</v>
      </c>
      <c r="B52">
        <v>200</v>
      </c>
      <c r="C52" t="s">
        <v>6</v>
      </c>
      <c r="D52">
        <v>25</v>
      </c>
    </row>
    <row r="53" spans="1:4" x14ac:dyDescent="0.25">
      <c r="A53" t="s">
        <v>5</v>
      </c>
      <c r="B53">
        <v>200</v>
      </c>
      <c r="C53" t="s">
        <v>6</v>
      </c>
      <c r="D53">
        <v>65</v>
      </c>
    </row>
    <row r="54" spans="1:4" x14ac:dyDescent="0.25">
      <c r="A54" t="s">
        <v>5</v>
      </c>
      <c r="B54">
        <v>200</v>
      </c>
      <c r="C54" t="s">
        <v>6</v>
      </c>
      <c r="D54">
        <v>95</v>
      </c>
    </row>
    <row r="55" spans="1:4" x14ac:dyDescent="0.25">
      <c r="A55" t="s">
        <v>7</v>
      </c>
      <c r="B55">
        <v>1000</v>
      </c>
      <c r="C55" t="s">
        <v>6</v>
      </c>
      <c r="D55">
        <v>15</v>
      </c>
    </row>
    <row r="56" spans="1:4" x14ac:dyDescent="0.25">
      <c r="A56" t="s">
        <v>7</v>
      </c>
      <c r="B56">
        <v>5000</v>
      </c>
      <c r="C56" t="s">
        <v>6</v>
      </c>
      <c r="D56">
        <v>32</v>
      </c>
    </row>
    <row r="57" spans="1:4" x14ac:dyDescent="0.25">
      <c r="A57" t="s">
        <v>7</v>
      </c>
      <c r="B57">
        <v>100</v>
      </c>
      <c r="C57" t="s">
        <v>6</v>
      </c>
      <c r="D57">
        <v>62</v>
      </c>
    </row>
    <row r="58" spans="1:4" x14ac:dyDescent="0.25">
      <c r="A58" t="s">
        <v>7</v>
      </c>
      <c r="B58">
        <v>985</v>
      </c>
      <c r="C58" t="s">
        <v>6</v>
      </c>
      <c r="D58">
        <v>23</v>
      </c>
    </row>
    <row r="59" spans="1:4" x14ac:dyDescent="0.25">
      <c r="A59" t="s">
        <v>10</v>
      </c>
      <c r="B59">
        <v>200</v>
      </c>
      <c r="C59" t="s">
        <v>6</v>
      </c>
      <c r="D59">
        <v>30</v>
      </c>
    </row>
    <row r="60" spans="1:4" x14ac:dyDescent="0.25">
      <c r="A60" t="s">
        <v>10</v>
      </c>
      <c r="B60">
        <v>100</v>
      </c>
      <c r="C60" t="s">
        <v>6</v>
      </c>
      <c r="D60">
        <v>52</v>
      </c>
    </row>
    <row r="61" spans="1:4" x14ac:dyDescent="0.25">
      <c r="A61" t="s">
        <v>10</v>
      </c>
      <c r="B61">
        <v>200</v>
      </c>
      <c r="C61" t="s">
        <v>6</v>
      </c>
      <c r="D61">
        <v>32</v>
      </c>
    </row>
    <row r="62" spans="1:4" x14ac:dyDescent="0.25">
      <c r="A62" t="s">
        <v>10</v>
      </c>
      <c r="B62">
        <v>200</v>
      </c>
      <c r="C62" t="s">
        <v>6</v>
      </c>
      <c r="D62">
        <v>15</v>
      </c>
    </row>
    <row r="63" spans="1:4" x14ac:dyDescent="0.25">
      <c r="A63" t="s">
        <v>10</v>
      </c>
      <c r="B63">
        <v>100</v>
      </c>
      <c r="C63" t="s">
        <v>6</v>
      </c>
      <c r="D63">
        <v>23</v>
      </c>
    </row>
    <row r="64" spans="1:4" x14ac:dyDescent="0.25">
      <c r="A64" t="s">
        <v>10</v>
      </c>
      <c r="B64">
        <v>1000</v>
      </c>
      <c r="C64" t="s">
        <v>6</v>
      </c>
      <c r="D64">
        <v>56</v>
      </c>
    </row>
    <row r="65" spans="1:4" x14ac:dyDescent="0.25">
      <c r="A65" t="s">
        <v>10</v>
      </c>
      <c r="B65">
        <v>200</v>
      </c>
      <c r="C65" t="s">
        <v>6</v>
      </c>
      <c r="D65">
        <v>23</v>
      </c>
    </row>
    <row r="66" spans="1:4" x14ac:dyDescent="0.25">
      <c r="A66" t="s">
        <v>10</v>
      </c>
      <c r="B66">
        <v>5000</v>
      </c>
      <c r="C66" t="s">
        <v>6</v>
      </c>
      <c r="D66">
        <v>65</v>
      </c>
    </row>
    <row r="67" spans="1:4" x14ac:dyDescent="0.25">
      <c r="A67" t="s">
        <v>10</v>
      </c>
      <c r="B67">
        <v>1000</v>
      </c>
      <c r="C67" t="s">
        <v>6</v>
      </c>
      <c r="D67">
        <v>31</v>
      </c>
    </row>
    <row r="68" spans="1:4" x14ac:dyDescent="0.25">
      <c r="A68" t="s">
        <v>10</v>
      </c>
      <c r="B68">
        <v>5000</v>
      </c>
      <c r="C68" t="s">
        <v>6</v>
      </c>
      <c r="D68">
        <v>41</v>
      </c>
    </row>
    <row r="69" spans="1:4" x14ac:dyDescent="0.25">
      <c r="A69" t="s">
        <v>10</v>
      </c>
      <c r="B69">
        <v>520</v>
      </c>
      <c r="C69" t="s">
        <v>6</v>
      </c>
      <c r="D69">
        <v>14</v>
      </c>
    </row>
    <row r="70" spans="1:4" x14ac:dyDescent="0.25">
      <c r="A70" t="s">
        <v>11</v>
      </c>
      <c r="B70">
        <v>200</v>
      </c>
      <c r="C70" t="s">
        <v>6</v>
      </c>
      <c r="D70">
        <v>65</v>
      </c>
    </row>
    <row r="71" spans="1:4" x14ac:dyDescent="0.25">
      <c r="A71" t="s">
        <v>11</v>
      </c>
      <c r="B71">
        <v>200</v>
      </c>
      <c r="C71" t="s">
        <v>6</v>
      </c>
      <c r="D71">
        <v>35</v>
      </c>
    </row>
    <row r="72" spans="1:4" x14ac:dyDescent="0.25">
      <c r="A72" t="s">
        <v>11</v>
      </c>
      <c r="B72">
        <v>200</v>
      </c>
      <c r="C72" t="s">
        <v>6</v>
      </c>
      <c r="D72">
        <v>14</v>
      </c>
    </row>
    <row r="73" spans="1:4" x14ac:dyDescent="0.25">
      <c r="A73" t="s">
        <v>11</v>
      </c>
      <c r="B73">
        <v>200</v>
      </c>
      <c r="C73" t="s">
        <v>6</v>
      </c>
      <c r="D73">
        <v>32</v>
      </c>
    </row>
  </sheetData>
  <autoFilter ref="A1:D73" xr:uid="{00000000-0009-0000-0000-000000000000}">
    <sortState ref="A2:D73">
      <sortCondition ref="C2:C73"/>
    </sortState>
  </autoFilter>
  <sortState ref="A2:D73">
    <sortCondition ref="C2:C73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0000"/>
  </sheetPr>
  <dimension ref="A1:E12"/>
  <sheetViews>
    <sheetView zoomScale="140" zoomScaleNormal="140" workbookViewId="0">
      <selection activeCell="C10" sqref="C10"/>
    </sheetView>
  </sheetViews>
  <sheetFormatPr defaultRowHeight="15" x14ac:dyDescent="0.25"/>
  <sheetData>
    <row r="1" spans="1:5" x14ac:dyDescent="0.25">
      <c r="A1" t="s">
        <v>14</v>
      </c>
    </row>
    <row r="2" spans="1:5" x14ac:dyDescent="0.25">
      <c r="A2" t="s">
        <v>15</v>
      </c>
    </row>
    <row r="3" spans="1:5" x14ac:dyDescent="0.25">
      <c r="A3" t="s">
        <v>16</v>
      </c>
    </row>
    <row r="4" spans="1:5" x14ac:dyDescent="0.25">
      <c r="A4" s="2"/>
    </row>
    <row r="5" spans="1:5" x14ac:dyDescent="0.25">
      <c r="A5" s="2"/>
      <c r="B5" t="s">
        <v>400</v>
      </c>
      <c r="C5" t="s">
        <v>401</v>
      </c>
      <c r="E5" s="2"/>
    </row>
    <row r="6" spans="1:5" x14ac:dyDescent="0.25">
      <c r="A6" s="2" t="s">
        <v>397</v>
      </c>
      <c r="B6">
        <v>1250</v>
      </c>
      <c r="C6">
        <v>1221.4611951519184</v>
      </c>
      <c r="E6" s="2"/>
    </row>
    <row r="7" spans="1:5" x14ac:dyDescent="0.25">
      <c r="A7" s="2" t="s">
        <v>398</v>
      </c>
      <c r="B7">
        <v>1725.42</v>
      </c>
      <c r="C7">
        <v>1671.0441680895369</v>
      </c>
      <c r="E7" s="2"/>
    </row>
    <row r="8" spans="1:5" x14ac:dyDescent="0.25">
      <c r="A8" s="2" t="s">
        <v>0</v>
      </c>
      <c r="B8">
        <v>725.89</v>
      </c>
      <c r="C8">
        <v>716.26597257781668</v>
      </c>
      <c r="E8" s="2"/>
    </row>
    <row r="9" spans="1:5" x14ac:dyDescent="0.25">
      <c r="A9" s="2" t="s">
        <v>399</v>
      </c>
      <c r="B9">
        <v>2561</v>
      </c>
      <c r="C9">
        <v>2441.2056641808153</v>
      </c>
      <c r="E9" s="2"/>
    </row>
    <row r="10" spans="1:5" x14ac:dyDescent="0.25">
      <c r="B10">
        <f>SUM(B6:B9)</f>
        <v>6262.3099999999995</v>
      </c>
      <c r="C10">
        <f>SUM(C6:C9)</f>
        <v>6049.9770000000881</v>
      </c>
    </row>
    <row r="11" spans="1:5" x14ac:dyDescent="0.25">
      <c r="B11">
        <v>212.34</v>
      </c>
    </row>
    <row r="12" spans="1:5" x14ac:dyDescent="0.25">
      <c r="B12">
        <f>B10-B11</f>
        <v>6049.9699999999993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00B050"/>
  </sheetPr>
  <dimension ref="A2:H21"/>
  <sheetViews>
    <sheetView workbookViewId="0">
      <selection activeCell="G8" sqref="G8"/>
    </sheetView>
  </sheetViews>
  <sheetFormatPr defaultRowHeight="15" x14ac:dyDescent="0.25"/>
  <cols>
    <col min="1" max="1" width="17.7109375" style="67" customWidth="1"/>
    <col min="2" max="2" width="11" style="67" customWidth="1"/>
    <col min="3" max="3" width="9.140625" style="67"/>
    <col min="4" max="4" width="10.42578125" style="67" bestFit="1" customWidth="1"/>
    <col min="5" max="5" width="11.5703125" style="67" bestFit="1" customWidth="1"/>
    <col min="6" max="16384" width="9.140625" style="67"/>
  </cols>
  <sheetData>
    <row r="2" spans="1:8" x14ac:dyDescent="0.25">
      <c r="A2" s="67" t="s">
        <v>17</v>
      </c>
      <c r="B2" s="67" t="s">
        <v>18</v>
      </c>
      <c r="C2" s="67" t="s">
        <v>19</v>
      </c>
      <c r="D2" s="67" t="s">
        <v>20</v>
      </c>
      <c r="E2" s="67" t="s">
        <v>21</v>
      </c>
      <c r="F2" s="67" t="s">
        <v>17</v>
      </c>
      <c r="H2" s="67" t="s">
        <v>402</v>
      </c>
    </row>
    <row r="3" spans="1:8" x14ac:dyDescent="0.25">
      <c r="A3" s="67" t="s">
        <v>396</v>
      </c>
      <c r="B3" s="67">
        <v>43</v>
      </c>
      <c r="C3" s="67">
        <v>45</v>
      </c>
      <c r="D3" s="67">
        <v>65</v>
      </c>
      <c r="E3" s="73">
        <f>ROUND(AVERAGE(B3:D3),1)</f>
        <v>51</v>
      </c>
      <c r="F3" s="67" t="s">
        <v>396</v>
      </c>
    </row>
    <row r="4" spans="1:8" x14ac:dyDescent="0.25">
      <c r="A4" s="67" t="s">
        <v>23</v>
      </c>
      <c r="B4" s="67">
        <v>54</v>
      </c>
      <c r="C4" s="67">
        <v>43</v>
      </c>
      <c r="D4" s="67">
        <v>54</v>
      </c>
      <c r="E4" s="73">
        <f t="shared" ref="E4:E9" si="0">ROUND(AVERAGE(B4:D4),1)</f>
        <v>50.3</v>
      </c>
      <c r="F4" s="67" t="s">
        <v>23</v>
      </c>
    </row>
    <row r="5" spans="1:8" x14ac:dyDescent="0.25">
      <c r="A5" s="67" t="s">
        <v>24</v>
      </c>
      <c r="B5" s="67">
        <v>65</v>
      </c>
      <c r="C5" s="67">
        <v>23</v>
      </c>
      <c r="D5" s="67">
        <v>76</v>
      </c>
      <c r="E5" s="73">
        <f t="shared" si="0"/>
        <v>54.7</v>
      </c>
      <c r="F5" s="67" t="s">
        <v>24</v>
      </c>
    </row>
    <row r="6" spans="1:8" x14ac:dyDescent="0.25">
      <c r="A6" s="67" t="s">
        <v>25</v>
      </c>
      <c r="B6" s="67">
        <v>23</v>
      </c>
      <c r="C6" s="67">
        <v>45</v>
      </c>
      <c r="D6" s="67">
        <v>87</v>
      </c>
      <c r="E6" s="73">
        <f t="shared" si="0"/>
        <v>51.7</v>
      </c>
      <c r="F6" s="67" t="s">
        <v>25</v>
      </c>
    </row>
    <row r="7" spans="1:8" x14ac:dyDescent="0.25">
      <c r="A7" s="67" t="s">
        <v>26</v>
      </c>
      <c r="B7" s="67">
        <v>45</v>
      </c>
      <c r="C7" s="67">
        <v>67</v>
      </c>
      <c r="D7" s="67">
        <v>98</v>
      </c>
      <c r="E7" s="73">
        <f t="shared" si="0"/>
        <v>70</v>
      </c>
      <c r="F7" s="67" t="s">
        <v>26</v>
      </c>
      <c r="G7" s="67">
        <f>SMALL(E3:E9,3)</f>
        <v>51.7</v>
      </c>
      <c r="H7" s="67" t="s">
        <v>403</v>
      </c>
    </row>
    <row r="8" spans="1:8" x14ac:dyDescent="0.25">
      <c r="A8" s="67" t="s">
        <v>27</v>
      </c>
      <c r="B8" s="67">
        <v>76</v>
      </c>
      <c r="C8" s="67">
        <v>89</v>
      </c>
      <c r="D8" s="67">
        <v>67</v>
      </c>
      <c r="E8" s="73">
        <f t="shared" si="0"/>
        <v>77.3</v>
      </c>
      <c r="F8" s="67" t="s">
        <v>27</v>
      </c>
    </row>
    <row r="9" spans="1:8" x14ac:dyDescent="0.25">
      <c r="A9" s="67" t="s">
        <v>28</v>
      </c>
      <c r="B9" s="67">
        <v>87</v>
      </c>
      <c r="C9" s="67">
        <v>87</v>
      </c>
      <c r="D9" s="67">
        <v>56</v>
      </c>
      <c r="E9" s="73">
        <f t="shared" si="0"/>
        <v>76.7</v>
      </c>
      <c r="F9" s="67" t="s">
        <v>28</v>
      </c>
    </row>
    <row r="13" spans="1:8" ht="26.25" x14ac:dyDescent="0.4">
      <c r="A13" s="67" t="s">
        <v>29</v>
      </c>
      <c r="B13" s="68" t="str">
        <f>VLOOKUP(SMALL($E$3:$E$9,1),$E$2:$F$9,2,0)</f>
        <v>Pedro</v>
      </c>
    </row>
    <row r="14" spans="1:8" ht="26.25" x14ac:dyDescent="0.4">
      <c r="A14" s="67" t="s">
        <v>30</v>
      </c>
      <c r="B14" s="68" t="str">
        <f>VLOOKUP(SMALL($E$3:$E$9,2),$E$2:$F$9,2,0)</f>
        <v>Alfredo</v>
      </c>
    </row>
    <row r="15" spans="1:8" ht="26.25" x14ac:dyDescent="0.4">
      <c r="A15" s="67" t="s">
        <v>31</v>
      </c>
      <c r="B15" s="68" t="str">
        <f>VLOOKUP(SMALL($E$3:$E$9,3),$E$2:$F$9,2,0)</f>
        <v>Manuel</v>
      </c>
    </row>
    <row r="17" spans="1:1" x14ac:dyDescent="0.25">
      <c r="A17" s="67" t="s">
        <v>32</v>
      </c>
    </row>
    <row r="18" spans="1:1" x14ac:dyDescent="0.25">
      <c r="A18" s="67" t="s">
        <v>33</v>
      </c>
    </row>
    <row r="19" spans="1:1" x14ac:dyDescent="0.25">
      <c r="A19" s="67" t="s">
        <v>34</v>
      </c>
    </row>
    <row r="21" spans="1:1" x14ac:dyDescent="0.25">
      <c r="A21" s="67" t="s">
        <v>35</v>
      </c>
    </row>
  </sheetData>
  <sheetProtection algorithmName="SHA-512" hashValue="s1DyVyzOh6Lsv+g38xmHzcwxH8eZg2eY5jcE3MGEMxG4s+s99v8H40eNFT8nk6LITJ4td/udaPC1fBFQZZa8fA==" saltValue="ivvVTi9vhhvsJYT25+m/hA==" spinCount="100000" sheet="1" objects="1" scenarios="1"/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meiro_Funcionario">
                <anchor moveWithCells="1" sizeWithCells="1">
                  <from>
                    <xdr:col>0</xdr:col>
                    <xdr:colOff>38100</xdr:colOff>
                    <xdr:row>12</xdr:row>
                    <xdr:rowOff>19050</xdr:rowOff>
                  </from>
                  <to>
                    <xdr:col>0</xdr:col>
                    <xdr:colOff>1066800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gundo_Funcionario">
                <anchor moveWithCells="1" sizeWithCells="1">
                  <from>
                    <xdr:col>0</xdr:col>
                    <xdr:colOff>57150</xdr:colOff>
                    <xdr:row>13</xdr:row>
                    <xdr:rowOff>38100</xdr:rowOff>
                  </from>
                  <to>
                    <xdr:col>0</xdr:col>
                    <xdr:colOff>1028700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rceiro_Funcionario">
                <anchor moveWithCells="1" sizeWithCells="1">
                  <from>
                    <xdr:col>0</xdr:col>
                    <xdr:colOff>47625</xdr:colOff>
                    <xdr:row>14</xdr:row>
                    <xdr:rowOff>38100</xdr:rowOff>
                  </from>
                  <to>
                    <xdr:col>0</xdr:col>
                    <xdr:colOff>1066800</xdr:colOff>
                    <xdr:row>14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00B050"/>
  </sheetPr>
  <dimension ref="A1:E33"/>
  <sheetViews>
    <sheetView workbookViewId="0">
      <selection activeCell="F5" sqref="F5"/>
    </sheetView>
  </sheetViews>
  <sheetFormatPr defaultRowHeight="15" x14ac:dyDescent="0.25"/>
  <cols>
    <col min="1" max="1" width="24.5703125" customWidth="1"/>
    <col min="2" max="2" width="34.5703125" bestFit="1" customWidth="1"/>
    <col min="4" max="4" width="11.7109375" customWidth="1"/>
    <col min="5" max="5" width="11.42578125" customWidth="1"/>
    <col min="8" max="8" width="23.7109375" customWidth="1"/>
    <col min="257" max="257" width="24.5703125" customWidth="1"/>
    <col min="258" max="258" width="13.28515625" bestFit="1" customWidth="1"/>
    <col min="260" max="260" width="11.7109375" customWidth="1"/>
    <col min="261" max="261" width="11.42578125" customWidth="1"/>
    <col min="513" max="513" width="24.5703125" customWidth="1"/>
    <col min="514" max="514" width="13.28515625" bestFit="1" customWidth="1"/>
    <col min="516" max="516" width="11.7109375" customWidth="1"/>
    <col min="517" max="517" width="11.42578125" customWidth="1"/>
    <col min="769" max="769" width="24.5703125" customWidth="1"/>
    <col min="770" max="770" width="13.28515625" bestFit="1" customWidth="1"/>
    <col min="772" max="772" width="11.7109375" customWidth="1"/>
    <col min="773" max="773" width="11.42578125" customWidth="1"/>
    <col min="1025" max="1025" width="24.5703125" customWidth="1"/>
    <col min="1026" max="1026" width="13.28515625" bestFit="1" customWidth="1"/>
    <col min="1028" max="1028" width="11.7109375" customWidth="1"/>
    <col min="1029" max="1029" width="11.42578125" customWidth="1"/>
    <col min="1281" max="1281" width="24.5703125" customWidth="1"/>
    <col min="1282" max="1282" width="13.28515625" bestFit="1" customWidth="1"/>
    <col min="1284" max="1284" width="11.7109375" customWidth="1"/>
    <col min="1285" max="1285" width="11.42578125" customWidth="1"/>
    <col min="1537" max="1537" width="24.5703125" customWidth="1"/>
    <col min="1538" max="1538" width="13.28515625" bestFit="1" customWidth="1"/>
    <col min="1540" max="1540" width="11.7109375" customWidth="1"/>
    <col min="1541" max="1541" width="11.42578125" customWidth="1"/>
    <col min="1793" max="1793" width="24.5703125" customWidth="1"/>
    <col min="1794" max="1794" width="13.28515625" bestFit="1" customWidth="1"/>
    <col min="1796" max="1796" width="11.7109375" customWidth="1"/>
    <col min="1797" max="1797" width="11.42578125" customWidth="1"/>
    <col min="2049" max="2049" width="24.5703125" customWidth="1"/>
    <col min="2050" max="2050" width="13.28515625" bestFit="1" customWidth="1"/>
    <col min="2052" max="2052" width="11.7109375" customWidth="1"/>
    <col min="2053" max="2053" width="11.42578125" customWidth="1"/>
    <col min="2305" max="2305" width="24.5703125" customWidth="1"/>
    <col min="2306" max="2306" width="13.28515625" bestFit="1" customWidth="1"/>
    <col min="2308" max="2308" width="11.7109375" customWidth="1"/>
    <col min="2309" max="2309" width="11.42578125" customWidth="1"/>
    <col min="2561" max="2561" width="24.5703125" customWidth="1"/>
    <col min="2562" max="2562" width="13.28515625" bestFit="1" customWidth="1"/>
    <col min="2564" max="2564" width="11.7109375" customWidth="1"/>
    <col min="2565" max="2565" width="11.42578125" customWidth="1"/>
    <col min="2817" max="2817" width="24.5703125" customWidth="1"/>
    <col min="2818" max="2818" width="13.28515625" bestFit="1" customWidth="1"/>
    <col min="2820" max="2820" width="11.7109375" customWidth="1"/>
    <col min="2821" max="2821" width="11.42578125" customWidth="1"/>
    <col min="3073" max="3073" width="24.5703125" customWidth="1"/>
    <col min="3074" max="3074" width="13.28515625" bestFit="1" customWidth="1"/>
    <col min="3076" max="3076" width="11.7109375" customWidth="1"/>
    <col min="3077" max="3077" width="11.42578125" customWidth="1"/>
    <col min="3329" max="3329" width="24.5703125" customWidth="1"/>
    <col min="3330" max="3330" width="13.28515625" bestFit="1" customWidth="1"/>
    <col min="3332" max="3332" width="11.7109375" customWidth="1"/>
    <col min="3333" max="3333" width="11.42578125" customWidth="1"/>
    <col min="3585" max="3585" width="24.5703125" customWidth="1"/>
    <col min="3586" max="3586" width="13.28515625" bestFit="1" customWidth="1"/>
    <col min="3588" max="3588" width="11.7109375" customWidth="1"/>
    <col min="3589" max="3589" width="11.42578125" customWidth="1"/>
    <col min="3841" max="3841" width="24.5703125" customWidth="1"/>
    <col min="3842" max="3842" width="13.28515625" bestFit="1" customWidth="1"/>
    <col min="3844" max="3844" width="11.7109375" customWidth="1"/>
    <col min="3845" max="3845" width="11.42578125" customWidth="1"/>
    <col min="4097" max="4097" width="24.5703125" customWidth="1"/>
    <col min="4098" max="4098" width="13.28515625" bestFit="1" customWidth="1"/>
    <col min="4100" max="4100" width="11.7109375" customWidth="1"/>
    <col min="4101" max="4101" width="11.42578125" customWidth="1"/>
    <col min="4353" max="4353" width="24.5703125" customWidth="1"/>
    <col min="4354" max="4354" width="13.28515625" bestFit="1" customWidth="1"/>
    <col min="4356" max="4356" width="11.7109375" customWidth="1"/>
    <col min="4357" max="4357" width="11.42578125" customWidth="1"/>
    <col min="4609" max="4609" width="24.5703125" customWidth="1"/>
    <col min="4610" max="4610" width="13.28515625" bestFit="1" customWidth="1"/>
    <col min="4612" max="4612" width="11.7109375" customWidth="1"/>
    <col min="4613" max="4613" width="11.42578125" customWidth="1"/>
    <col min="4865" max="4865" width="24.5703125" customWidth="1"/>
    <col min="4866" max="4866" width="13.28515625" bestFit="1" customWidth="1"/>
    <col min="4868" max="4868" width="11.7109375" customWidth="1"/>
    <col min="4869" max="4869" width="11.42578125" customWidth="1"/>
    <col min="5121" max="5121" width="24.5703125" customWidth="1"/>
    <col min="5122" max="5122" width="13.28515625" bestFit="1" customWidth="1"/>
    <col min="5124" max="5124" width="11.7109375" customWidth="1"/>
    <col min="5125" max="5125" width="11.42578125" customWidth="1"/>
    <col min="5377" max="5377" width="24.5703125" customWidth="1"/>
    <col min="5378" max="5378" width="13.28515625" bestFit="1" customWidth="1"/>
    <col min="5380" max="5380" width="11.7109375" customWidth="1"/>
    <col min="5381" max="5381" width="11.42578125" customWidth="1"/>
    <col min="5633" max="5633" width="24.5703125" customWidth="1"/>
    <col min="5634" max="5634" width="13.28515625" bestFit="1" customWidth="1"/>
    <col min="5636" max="5636" width="11.7109375" customWidth="1"/>
    <col min="5637" max="5637" width="11.42578125" customWidth="1"/>
    <col min="5889" max="5889" width="24.5703125" customWidth="1"/>
    <col min="5890" max="5890" width="13.28515625" bestFit="1" customWidth="1"/>
    <col min="5892" max="5892" width="11.7109375" customWidth="1"/>
    <col min="5893" max="5893" width="11.42578125" customWidth="1"/>
    <col min="6145" max="6145" width="24.5703125" customWidth="1"/>
    <col min="6146" max="6146" width="13.28515625" bestFit="1" customWidth="1"/>
    <col min="6148" max="6148" width="11.7109375" customWidth="1"/>
    <col min="6149" max="6149" width="11.42578125" customWidth="1"/>
    <col min="6401" max="6401" width="24.5703125" customWidth="1"/>
    <col min="6402" max="6402" width="13.28515625" bestFit="1" customWidth="1"/>
    <col min="6404" max="6404" width="11.7109375" customWidth="1"/>
    <col min="6405" max="6405" width="11.42578125" customWidth="1"/>
    <col min="6657" max="6657" width="24.5703125" customWidth="1"/>
    <col min="6658" max="6658" width="13.28515625" bestFit="1" customWidth="1"/>
    <col min="6660" max="6660" width="11.7109375" customWidth="1"/>
    <col min="6661" max="6661" width="11.42578125" customWidth="1"/>
    <col min="6913" max="6913" width="24.5703125" customWidth="1"/>
    <col min="6914" max="6914" width="13.28515625" bestFit="1" customWidth="1"/>
    <col min="6916" max="6916" width="11.7109375" customWidth="1"/>
    <col min="6917" max="6917" width="11.42578125" customWidth="1"/>
    <col min="7169" max="7169" width="24.5703125" customWidth="1"/>
    <col min="7170" max="7170" width="13.28515625" bestFit="1" customWidth="1"/>
    <col min="7172" max="7172" width="11.7109375" customWidth="1"/>
    <col min="7173" max="7173" width="11.42578125" customWidth="1"/>
    <col min="7425" max="7425" width="24.5703125" customWidth="1"/>
    <col min="7426" max="7426" width="13.28515625" bestFit="1" customWidth="1"/>
    <col min="7428" max="7428" width="11.7109375" customWidth="1"/>
    <col min="7429" max="7429" width="11.42578125" customWidth="1"/>
    <col min="7681" max="7681" width="24.5703125" customWidth="1"/>
    <col min="7682" max="7682" width="13.28515625" bestFit="1" customWidth="1"/>
    <col min="7684" max="7684" width="11.7109375" customWidth="1"/>
    <col min="7685" max="7685" width="11.42578125" customWidth="1"/>
    <col min="7937" max="7937" width="24.5703125" customWidth="1"/>
    <col min="7938" max="7938" width="13.28515625" bestFit="1" customWidth="1"/>
    <col min="7940" max="7940" width="11.7109375" customWidth="1"/>
    <col min="7941" max="7941" width="11.42578125" customWidth="1"/>
    <col min="8193" max="8193" width="24.5703125" customWidth="1"/>
    <col min="8194" max="8194" width="13.28515625" bestFit="1" customWidth="1"/>
    <col min="8196" max="8196" width="11.7109375" customWidth="1"/>
    <col min="8197" max="8197" width="11.42578125" customWidth="1"/>
    <col min="8449" max="8449" width="24.5703125" customWidth="1"/>
    <col min="8450" max="8450" width="13.28515625" bestFit="1" customWidth="1"/>
    <col min="8452" max="8452" width="11.7109375" customWidth="1"/>
    <col min="8453" max="8453" width="11.42578125" customWidth="1"/>
    <col min="8705" max="8705" width="24.5703125" customWidth="1"/>
    <col min="8706" max="8706" width="13.28515625" bestFit="1" customWidth="1"/>
    <col min="8708" max="8708" width="11.7109375" customWidth="1"/>
    <col min="8709" max="8709" width="11.42578125" customWidth="1"/>
    <col min="8961" max="8961" width="24.5703125" customWidth="1"/>
    <col min="8962" max="8962" width="13.28515625" bestFit="1" customWidth="1"/>
    <col min="8964" max="8964" width="11.7109375" customWidth="1"/>
    <col min="8965" max="8965" width="11.42578125" customWidth="1"/>
    <col min="9217" max="9217" width="24.5703125" customWidth="1"/>
    <col min="9218" max="9218" width="13.28515625" bestFit="1" customWidth="1"/>
    <col min="9220" max="9220" width="11.7109375" customWidth="1"/>
    <col min="9221" max="9221" width="11.42578125" customWidth="1"/>
    <col min="9473" max="9473" width="24.5703125" customWidth="1"/>
    <col min="9474" max="9474" width="13.28515625" bestFit="1" customWidth="1"/>
    <col min="9476" max="9476" width="11.7109375" customWidth="1"/>
    <col min="9477" max="9477" width="11.42578125" customWidth="1"/>
    <col min="9729" max="9729" width="24.5703125" customWidth="1"/>
    <col min="9730" max="9730" width="13.28515625" bestFit="1" customWidth="1"/>
    <col min="9732" max="9732" width="11.7109375" customWidth="1"/>
    <col min="9733" max="9733" width="11.42578125" customWidth="1"/>
    <col min="9985" max="9985" width="24.5703125" customWidth="1"/>
    <col min="9986" max="9986" width="13.28515625" bestFit="1" customWidth="1"/>
    <col min="9988" max="9988" width="11.7109375" customWidth="1"/>
    <col min="9989" max="9989" width="11.42578125" customWidth="1"/>
    <col min="10241" max="10241" width="24.5703125" customWidth="1"/>
    <col min="10242" max="10242" width="13.28515625" bestFit="1" customWidth="1"/>
    <col min="10244" max="10244" width="11.7109375" customWidth="1"/>
    <col min="10245" max="10245" width="11.42578125" customWidth="1"/>
    <col min="10497" max="10497" width="24.5703125" customWidth="1"/>
    <col min="10498" max="10498" width="13.28515625" bestFit="1" customWidth="1"/>
    <col min="10500" max="10500" width="11.7109375" customWidth="1"/>
    <col min="10501" max="10501" width="11.42578125" customWidth="1"/>
    <col min="10753" max="10753" width="24.5703125" customWidth="1"/>
    <col min="10754" max="10754" width="13.28515625" bestFit="1" customWidth="1"/>
    <col min="10756" max="10756" width="11.7109375" customWidth="1"/>
    <col min="10757" max="10757" width="11.42578125" customWidth="1"/>
    <col min="11009" max="11009" width="24.5703125" customWidth="1"/>
    <col min="11010" max="11010" width="13.28515625" bestFit="1" customWidth="1"/>
    <col min="11012" max="11012" width="11.7109375" customWidth="1"/>
    <col min="11013" max="11013" width="11.42578125" customWidth="1"/>
    <col min="11265" max="11265" width="24.5703125" customWidth="1"/>
    <col min="11266" max="11266" width="13.28515625" bestFit="1" customWidth="1"/>
    <col min="11268" max="11268" width="11.7109375" customWidth="1"/>
    <col min="11269" max="11269" width="11.42578125" customWidth="1"/>
    <col min="11521" max="11521" width="24.5703125" customWidth="1"/>
    <col min="11522" max="11522" width="13.28515625" bestFit="1" customWidth="1"/>
    <col min="11524" max="11524" width="11.7109375" customWidth="1"/>
    <col min="11525" max="11525" width="11.42578125" customWidth="1"/>
    <col min="11777" max="11777" width="24.5703125" customWidth="1"/>
    <col min="11778" max="11778" width="13.28515625" bestFit="1" customWidth="1"/>
    <col min="11780" max="11780" width="11.7109375" customWidth="1"/>
    <col min="11781" max="11781" width="11.42578125" customWidth="1"/>
    <col min="12033" max="12033" width="24.5703125" customWidth="1"/>
    <col min="12034" max="12034" width="13.28515625" bestFit="1" customWidth="1"/>
    <col min="12036" max="12036" width="11.7109375" customWidth="1"/>
    <col min="12037" max="12037" width="11.42578125" customWidth="1"/>
    <col min="12289" max="12289" width="24.5703125" customWidth="1"/>
    <col min="12290" max="12290" width="13.28515625" bestFit="1" customWidth="1"/>
    <col min="12292" max="12292" width="11.7109375" customWidth="1"/>
    <col min="12293" max="12293" width="11.42578125" customWidth="1"/>
    <col min="12545" max="12545" width="24.5703125" customWidth="1"/>
    <col min="12546" max="12546" width="13.28515625" bestFit="1" customWidth="1"/>
    <col min="12548" max="12548" width="11.7109375" customWidth="1"/>
    <col min="12549" max="12549" width="11.42578125" customWidth="1"/>
    <col min="12801" max="12801" width="24.5703125" customWidth="1"/>
    <col min="12802" max="12802" width="13.28515625" bestFit="1" customWidth="1"/>
    <col min="12804" max="12804" width="11.7109375" customWidth="1"/>
    <col min="12805" max="12805" width="11.42578125" customWidth="1"/>
    <col min="13057" max="13057" width="24.5703125" customWidth="1"/>
    <col min="13058" max="13058" width="13.28515625" bestFit="1" customWidth="1"/>
    <col min="13060" max="13060" width="11.7109375" customWidth="1"/>
    <col min="13061" max="13061" width="11.42578125" customWidth="1"/>
    <col min="13313" max="13313" width="24.5703125" customWidth="1"/>
    <col min="13314" max="13314" width="13.28515625" bestFit="1" customWidth="1"/>
    <col min="13316" max="13316" width="11.7109375" customWidth="1"/>
    <col min="13317" max="13317" width="11.42578125" customWidth="1"/>
    <col min="13569" max="13569" width="24.5703125" customWidth="1"/>
    <col min="13570" max="13570" width="13.28515625" bestFit="1" customWidth="1"/>
    <col min="13572" max="13572" width="11.7109375" customWidth="1"/>
    <col min="13573" max="13573" width="11.42578125" customWidth="1"/>
    <col min="13825" max="13825" width="24.5703125" customWidth="1"/>
    <col min="13826" max="13826" width="13.28515625" bestFit="1" customWidth="1"/>
    <col min="13828" max="13828" width="11.7109375" customWidth="1"/>
    <col min="13829" max="13829" width="11.42578125" customWidth="1"/>
    <col min="14081" max="14081" width="24.5703125" customWidth="1"/>
    <col min="14082" max="14082" width="13.28515625" bestFit="1" customWidth="1"/>
    <col min="14084" max="14084" width="11.7109375" customWidth="1"/>
    <col min="14085" max="14085" width="11.42578125" customWidth="1"/>
    <col min="14337" max="14337" width="24.5703125" customWidth="1"/>
    <col min="14338" max="14338" width="13.28515625" bestFit="1" customWidth="1"/>
    <col min="14340" max="14340" width="11.7109375" customWidth="1"/>
    <col min="14341" max="14341" width="11.42578125" customWidth="1"/>
    <col min="14593" max="14593" width="24.5703125" customWidth="1"/>
    <col min="14594" max="14594" width="13.28515625" bestFit="1" customWidth="1"/>
    <col min="14596" max="14596" width="11.7109375" customWidth="1"/>
    <col min="14597" max="14597" width="11.42578125" customWidth="1"/>
    <col min="14849" max="14849" width="24.5703125" customWidth="1"/>
    <col min="14850" max="14850" width="13.28515625" bestFit="1" customWidth="1"/>
    <col min="14852" max="14852" width="11.7109375" customWidth="1"/>
    <col min="14853" max="14853" width="11.42578125" customWidth="1"/>
    <col min="15105" max="15105" width="24.5703125" customWidth="1"/>
    <col min="15106" max="15106" width="13.28515625" bestFit="1" customWidth="1"/>
    <col min="15108" max="15108" width="11.7109375" customWidth="1"/>
    <col min="15109" max="15109" width="11.42578125" customWidth="1"/>
    <col min="15361" max="15361" width="24.5703125" customWidth="1"/>
    <col min="15362" max="15362" width="13.28515625" bestFit="1" customWidth="1"/>
    <col min="15364" max="15364" width="11.7109375" customWidth="1"/>
    <col min="15365" max="15365" width="11.42578125" customWidth="1"/>
    <col min="15617" max="15617" width="24.5703125" customWidth="1"/>
    <col min="15618" max="15618" width="13.28515625" bestFit="1" customWidth="1"/>
    <col min="15620" max="15620" width="11.7109375" customWidth="1"/>
    <col min="15621" max="15621" width="11.42578125" customWidth="1"/>
    <col min="15873" max="15873" width="24.5703125" customWidth="1"/>
    <col min="15874" max="15874" width="13.28515625" bestFit="1" customWidth="1"/>
    <col min="15876" max="15876" width="11.7109375" customWidth="1"/>
    <col min="15877" max="15877" width="11.42578125" customWidth="1"/>
    <col min="16129" max="16129" width="24.5703125" customWidth="1"/>
    <col min="16130" max="16130" width="13.28515625" bestFit="1" customWidth="1"/>
    <col min="16132" max="16132" width="11.7109375" customWidth="1"/>
    <col min="16133" max="16133" width="11.42578125" customWidth="1"/>
  </cols>
  <sheetData>
    <row r="1" spans="1:5" ht="18.75" x14ac:dyDescent="0.3">
      <c r="A1" s="83" t="s">
        <v>36</v>
      </c>
      <c r="B1" s="83"/>
      <c r="C1" s="83"/>
      <c r="D1" s="83"/>
    </row>
    <row r="3" spans="1:5" x14ac:dyDescent="0.25">
      <c r="A3" t="s">
        <v>37</v>
      </c>
      <c r="B3" s="3">
        <v>8000</v>
      </c>
    </row>
    <row r="4" spans="1:5" x14ac:dyDescent="0.25">
      <c r="A4" t="s">
        <v>38</v>
      </c>
      <c r="B4" s="3">
        <v>1800</v>
      </c>
    </row>
    <row r="5" spans="1:5" x14ac:dyDescent="0.25">
      <c r="A5" t="s">
        <v>39</v>
      </c>
      <c r="B5">
        <v>10</v>
      </c>
    </row>
    <row r="6" spans="1:5" x14ac:dyDescent="0.25">
      <c r="A6" t="s">
        <v>40</v>
      </c>
      <c r="B6">
        <v>5000</v>
      </c>
    </row>
    <row r="7" spans="1:5" x14ac:dyDescent="0.25">
      <c r="A7" t="s">
        <v>41</v>
      </c>
      <c r="B7" t="s">
        <v>46</v>
      </c>
    </row>
    <row r="8" spans="1:5" ht="33" x14ac:dyDescent="0.45">
      <c r="A8" t="s">
        <v>43</v>
      </c>
      <c r="B8" s="76" t="str">
        <f>IF(B3*(VLOOKUP(B5,A12:E23,IF(B7=B11,IF(B6&gt;0,2,3),IF(B6&gt;0,4,5)),0)+0)&gt;B4/3,"Salário incompatível",B3*(VLOOKUP(B5,A12:E23,IF(B7=B11,IF(B6&gt;0,2,3),IF(B6&gt;0,4,5)),0)+0))</f>
        <v>Salário incompatível</v>
      </c>
    </row>
    <row r="10" spans="1:5" ht="15.75" thickBot="1" x14ac:dyDescent="0.3">
      <c r="A10" t="s">
        <v>45</v>
      </c>
    </row>
    <row r="11" spans="1:5" ht="15.75" thickBot="1" x14ac:dyDescent="0.3">
      <c r="B11" s="84" t="s">
        <v>42</v>
      </c>
      <c r="C11" s="85"/>
      <c r="D11" s="86" t="s">
        <v>46</v>
      </c>
      <c r="E11" s="87"/>
    </row>
    <row r="12" spans="1:5" x14ac:dyDescent="0.25">
      <c r="A12" t="s">
        <v>39</v>
      </c>
      <c r="B12" s="4" t="s">
        <v>47</v>
      </c>
      <c r="C12" s="5" t="s">
        <v>48</v>
      </c>
      <c r="D12" s="4" t="s">
        <v>47</v>
      </c>
      <c r="E12" s="5" t="s">
        <v>48</v>
      </c>
    </row>
    <row r="13" spans="1:5" x14ac:dyDescent="0.25">
      <c r="A13">
        <v>2</v>
      </c>
      <c r="B13" s="6">
        <v>0.52</v>
      </c>
      <c r="C13" s="7">
        <f>B13+0.008</f>
        <v>0.52800000000000002</v>
      </c>
      <c r="D13" s="6">
        <f>B13-0.001</f>
        <v>0.51900000000000002</v>
      </c>
      <c r="E13" s="7">
        <f>C13+0.01</f>
        <v>0.53800000000000003</v>
      </c>
    </row>
    <row r="14" spans="1:5" x14ac:dyDescent="0.25">
      <c r="A14">
        <v>3</v>
      </c>
      <c r="B14" s="6">
        <v>0.38</v>
      </c>
      <c r="C14" s="7">
        <f t="shared" ref="C14:C23" si="0">B14+0.008</f>
        <v>0.38800000000000001</v>
      </c>
      <c r="D14" s="6">
        <f t="shared" ref="D14:D23" si="1">B14-0.001</f>
        <v>0.379</v>
      </c>
      <c r="E14" s="7">
        <f t="shared" ref="E14:E23" si="2">C14+0.01</f>
        <v>0.39800000000000002</v>
      </c>
    </row>
    <row r="15" spans="1:5" x14ac:dyDescent="0.25">
      <c r="A15">
        <v>4</v>
      </c>
      <c r="B15" s="6">
        <v>0.27</v>
      </c>
      <c r="C15" s="7">
        <f t="shared" si="0"/>
        <v>0.27800000000000002</v>
      </c>
      <c r="D15" s="6">
        <f t="shared" si="1"/>
        <v>0.26900000000000002</v>
      </c>
      <c r="E15" s="7">
        <f t="shared" si="2"/>
        <v>0.28800000000000003</v>
      </c>
    </row>
    <row r="16" spans="1:5" x14ac:dyDescent="0.25">
      <c r="A16">
        <v>5</v>
      </c>
      <c r="B16" s="6">
        <v>0.21</v>
      </c>
      <c r="C16" s="7">
        <f t="shared" si="0"/>
        <v>0.218</v>
      </c>
      <c r="D16" s="6">
        <f t="shared" si="1"/>
        <v>0.20899999999999999</v>
      </c>
      <c r="E16" s="7">
        <f t="shared" si="2"/>
        <v>0.22800000000000001</v>
      </c>
    </row>
    <row r="17" spans="1:5" x14ac:dyDescent="0.25">
      <c r="A17">
        <v>6</v>
      </c>
      <c r="B17" s="6">
        <v>0.19</v>
      </c>
      <c r="C17" s="7">
        <f t="shared" si="0"/>
        <v>0.19800000000000001</v>
      </c>
      <c r="D17" s="6">
        <f t="shared" si="1"/>
        <v>0.189</v>
      </c>
      <c r="E17" s="7">
        <f t="shared" si="2"/>
        <v>0.20800000000000002</v>
      </c>
    </row>
    <row r="18" spans="1:5" x14ac:dyDescent="0.25">
      <c r="A18">
        <v>7</v>
      </c>
      <c r="B18" s="6">
        <v>1.5289999999999999</v>
      </c>
      <c r="C18" s="7">
        <f t="shared" si="0"/>
        <v>1.5369999999999999</v>
      </c>
      <c r="D18" s="6">
        <f t="shared" si="1"/>
        <v>1.528</v>
      </c>
      <c r="E18" s="7">
        <f t="shared" si="2"/>
        <v>1.5469999999999999</v>
      </c>
    </row>
    <row r="19" spans="1:5" x14ac:dyDescent="0.25">
      <c r="A19">
        <v>8</v>
      </c>
      <c r="B19" s="6">
        <v>0.14000000000000001</v>
      </c>
      <c r="C19" s="7">
        <f t="shared" si="0"/>
        <v>0.14800000000000002</v>
      </c>
      <c r="D19" s="6">
        <f t="shared" si="1"/>
        <v>0.13900000000000001</v>
      </c>
      <c r="E19" s="7">
        <f t="shared" si="2"/>
        <v>0.15800000000000003</v>
      </c>
    </row>
    <row r="20" spans="1:5" x14ac:dyDescent="0.25">
      <c r="A20">
        <v>9</v>
      </c>
      <c r="B20" s="6">
        <v>0.13200000000000001</v>
      </c>
      <c r="C20" s="7">
        <f t="shared" si="0"/>
        <v>0.14000000000000001</v>
      </c>
      <c r="D20" s="6">
        <f t="shared" si="1"/>
        <v>0.13100000000000001</v>
      </c>
      <c r="E20" s="7">
        <f t="shared" si="2"/>
        <v>0.15000000000000002</v>
      </c>
    </row>
    <row r="21" spans="1:5" x14ac:dyDescent="0.25">
      <c r="A21">
        <v>10</v>
      </c>
      <c r="B21" s="6">
        <v>0.12</v>
      </c>
      <c r="C21" s="7">
        <f t="shared" si="0"/>
        <v>0.128</v>
      </c>
      <c r="D21" s="6">
        <f t="shared" si="1"/>
        <v>0.11899999999999999</v>
      </c>
      <c r="E21" s="7">
        <f t="shared" si="2"/>
        <v>0.13800000000000001</v>
      </c>
    </row>
    <row r="22" spans="1:5" x14ac:dyDescent="0.25">
      <c r="A22">
        <v>11</v>
      </c>
      <c r="B22" s="6">
        <v>0.10100000000000001</v>
      </c>
      <c r="C22" s="7">
        <f t="shared" si="0"/>
        <v>0.10900000000000001</v>
      </c>
      <c r="D22" s="6">
        <f t="shared" si="1"/>
        <v>0.1</v>
      </c>
      <c r="E22" s="7">
        <f t="shared" si="2"/>
        <v>0.11900000000000001</v>
      </c>
    </row>
    <row r="23" spans="1:5" ht="15.75" thickBot="1" x14ac:dyDescent="0.3">
      <c r="A23">
        <v>12</v>
      </c>
      <c r="B23" s="8">
        <v>9.0999999999999998E-2</v>
      </c>
      <c r="C23" s="9">
        <f t="shared" si="0"/>
        <v>9.9000000000000005E-2</v>
      </c>
      <c r="D23" s="8">
        <f t="shared" si="1"/>
        <v>0.09</v>
      </c>
      <c r="E23" s="9">
        <f t="shared" si="2"/>
        <v>0.109</v>
      </c>
    </row>
    <row r="26" spans="1:5" x14ac:dyDescent="0.25">
      <c r="A26" t="s">
        <v>49</v>
      </c>
    </row>
    <row r="27" spans="1:5" x14ac:dyDescent="0.25">
      <c r="A27" t="s">
        <v>50</v>
      </c>
    </row>
    <row r="28" spans="1:5" x14ac:dyDescent="0.25">
      <c r="A28" t="s">
        <v>51</v>
      </c>
    </row>
    <row r="29" spans="1:5" x14ac:dyDescent="0.25">
      <c r="A29" t="s">
        <v>52</v>
      </c>
    </row>
    <row r="30" spans="1:5" x14ac:dyDescent="0.25">
      <c r="A30" t="s">
        <v>53</v>
      </c>
    </row>
    <row r="31" spans="1:5" x14ac:dyDescent="0.25">
      <c r="A31" t="s">
        <v>54</v>
      </c>
    </row>
    <row r="32" spans="1:5" x14ac:dyDescent="0.25">
      <c r="A32" t="s">
        <v>55</v>
      </c>
    </row>
    <row r="33" spans="1:1" x14ac:dyDescent="0.25">
      <c r="A33" t="s">
        <v>56</v>
      </c>
    </row>
  </sheetData>
  <mergeCells count="3">
    <mergeCell ref="A1:D1"/>
    <mergeCell ref="B11:C11"/>
    <mergeCell ref="D11:E11"/>
  </mergeCells>
  <dataValidations count="3">
    <dataValidation type="list" allowBlank="1" showInputMessage="1" showErrorMessage="1" errorTitle="Erro de entrada" error="Prestação Inválida!_x000a_" sqref="B5" xr:uid="{00000000-0002-0000-0300-000000000000}">
      <formula1>$A$13:$A$23</formula1>
    </dataValidation>
    <dataValidation type="list" allowBlank="1" showInputMessage="1" showErrorMessage="1" sqref="A25" xr:uid="{00000000-0002-0000-0300-000001000000}">
      <formula1>$A$13:$A$24</formula1>
    </dataValidation>
    <dataValidation type="list" allowBlank="1" showInputMessage="1" showErrorMessage="1" errorTitle="Erro de entrada" error="O banco informado não existe!" sqref="B7" xr:uid="{00000000-0002-0000-0300-000002000000}">
      <formula1>"Bradesco,Unibanco"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FF0000"/>
  </sheetPr>
  <dimension ref="A1:I41"/>
  <sheetViews>
    <sheetView workbookViewId="0">
      <selection activeCell="H8" sqref="H8"/>
    </sheetView>
  </sheetViews>
  <sheetFormatPr defaultRowHeight="15" x14ac:dyDescent="0.25"/>
  <cols>
    <col min="1" max="1" width="10.85546875" customWidth="1"/>
    <col min="3" max="3" width="14" customWidth="1"/>
    <col min="4" max="4" width="14.7109375" customWidth="1"/>
    <col min="5" max="5" width="12.42578125" customWidth="1"/>
    <col min="6" max="6" width="12.7109375" customWidth="1"/>
  </cols>
  <sheetData>
    <row r="1" spans="1:9" ht="15.75" thickBot="1" x14ac:dyDescent="0.3">
      <c r="A1" s="10" t="s">
        <v>57</v>
      </c>
      <c r="B1" s="11" t="s">
        <v>2</v>
      </c>
      <c r="C1" s="11" t="s">
        <v>58</v>
      </c>
      <c r="D1" s="11" t="s">
        <v>1</v>
      </c>
      <c r="E1" s="11" t="s">
        <v>59</v>
      </c>
      <c r="F1" s="12" t="s">
        <v>60</v>
      </c>
    </row>
    <row r="2" spans="1:9" x14ac:dyDescent="0.25">
      <c r="A2" s="13" t="s">
        <v>61</v>
      </c>
      <c r="B2" s="14" t="s">
        <v>62</v>
      </c>
      <c r="C2" s="14" t="s">
        <v>63</v>
      </c>
      <c r="D2" s="14">
        <v>20</v>
      </c>
      <c r="E2" s="14">
        <v>1</v>
      </c>
      <c r="F2" s="15">
        <f>D2*50</f>
        <v>1000</v>
      </c>
      <c r="I2" t="s">
        <v>64</v>
      </c>
    </row>
    <row r="3" spans="1:9" x14ac:dyDescent="0.25">
      <c r="A3" s="16" t="s">
        <v>65</v>
      </c>
      <c r="B3" s="17" t="s">
        <v>62</v>
      </c>
      <c r="C3" s="17" t="s">
        <v>63</v>
      </c>
      <c r="D3" s="17">
        <v>58</v>
      </c>
      <c r="E3" s="17">
        <v>2</v>
      </c>
      <c r="F3" s="18">
        <f t="shared" ref="F3:F41" si="0">D3*50</f>
        <v>2900</v>
      </c>
      <c r="I3" t="s">
        <v>66</v>
      </c>
    </row>
    <row r="4" spans="1:9" x14ac:dyDescent="0.25">
      <c r="A4" s="16" t="s">
        <v>67</v>
      </c>
      <c r="B4" s="17" t="s">
        <v>62</v>
      </c>
      <c r="C4" s="17" t="s">
        <v>68</v>
      </c>
      <c r="D4" s="17">
        <v>60</v>
      </c>
      <c r="E4" s="17">
        <v>2</v>
      </c>
      <c r="F4" s="18">
        <f t="shared" si="0"/>
        <v>3000</v>
      </c>
    </row>
    <row r="5" spans="1:9" x14ac:dyDescent="0.25">
      <c r="A5" s="16" t="s">
        <v>69</v>
      </c>
      <c r="B5" s="17" t="s">
        <v>70</v>
      </c>
      <c r="C5" s="17" t="s">
        <v>71</v>
      </c>
      <c r="D5" s="17">
        <v>48</v>
      </c>
      <c r="E5" s="17">
        <v>1</v>
      </c>
      <c r="F5" s="18">
        <f t="shared" si="0"/>
        <v>2400</v>
      </c>
    </row>
    <row r="6" spans="1:9" x14ac:dyDescent="0.25">
      <c r="A6" s="16" t="s">
        <v>72</v>
      </c>
      <c r="B6" s="17" t="s">
        <v>70</v>
      </c>
      <c r="C6" s="17" t="s">
        <v>71</v>
      </c>
      <c r="D6" s="17">
        <v>50</v>
      </c>
      <c r="E6" s="17">
        <v>2</v>
      </c>
      <c r="F6" s="18">
        <f t="shared" si="0"/>
        <v>2500</v>
      </c>
    </row>
    <row r="7" spans="1:9" x14ac:dyDescent="0.25">
      <c r="A7" s="16" t="s">
        <v>73</v>
      </c>
      <c r="B7" s="17" t="s">
        <v>74</v>
      </c>
      <c r="C7" s="17" t="s">
        <v>75</v>
      </c>
      <c r="D7" s="17">
        <v>16</v>
      </c>
      <c r="E7" s="17">
        <v>1</v>
      </c>
      <c r="F7" s="18">
        <f t="shared" si="0"/>
        <v>800</v>
      </c>
    </row>
    <row r="8" spans="1:9" x14ac:dyDescent="0.25">
      <c r="A8" s="16" t="s">
        <v>76</v>
      </c>
      <c r="B8" s="17" t="s">
        <v>70</v>
      </c>
      <c r="C8" s="17" t="s">
        <v>77</v>
      </c>
      <c r="D8" s="17">
        <v>96</v>
      </c>
      <c r="E8" s="17">
        <v>2</v>
      </c>
      <c r="F8" s="18">
        <f t="shared" si="0"/>
        <v>4800</v>
      </c>
    </row>
    <row r="9" spans="1:9" x14ac:dyDescent="0.25">
      <c r="A9" s="16" t="s">
        <v>78</v>
      </c>
      <c r="B9" s="17" t="s">
        <v>74</v>
      </c>
      <c r="C9" s="17" t="s">
        <v>79</v>
      </c>
      <c r="D9" s="17">
        <v>73</v>
      </c>
      <c r="E9" s="17">
        <v>2</v>
      </c>
      <c r="F9" s="18">
        <f t="shared" si="0"/>
        <v>3650</v>
      </c>
    </row>
    <row r="10" spans="1:9" x14ac:dyDescent="0.25">
      <c r="A10" s="16" t="s">
        <v>80</v>
      </c>
      <c r="B10" s="17" t="s">
        <v>74</v>
      </c>
      <c r="C10" s="17" t="s">
        <v>79</v>
      </c>
      <c r="D10" s="17">
        <v>42</v>
      </c>
      <c r="E10" s="17">
        <v>1</v>
      </c>
      <c r="F10" s="18">
        <f t="shared" si="0"/>
        <v>2100</v>
      </c>
    </row>
    <row r="11" spans="1:9" x14ac:dyDescent="0.25">
      <c r="A11" s="16" t="s">
        <v>81</v>
      </c>
      <c r="B11" s="17" t="s">
        <v>62</v>
      </c>
      <c r="C11" s="17" t="s">
        <v>82</v>
      </c>
      <c r="D11" s="17">
        <v>12</v>
      </c>
      <c r="E11" s="17">
        <v>2</v>
      </c>
      <c r="F11" s="18">
        <f t="shared" si="0"/>
        <v>600</v>
      </c>
    </row>
    <row r="12" spans="1:9" x14ac:dyDescent="0.25">
      <c r="A12" s="16" t="s">
        <v>61</v>
      </c>
      <c r="B12" s="17" t="s">
        <v>62</v>
      </c>
      <c r="C12" s="17" t="s">
        <v>63</v>
      </c>
      <c r="D12" s="17">
        <v>20</v>
      </c>
      <c r="E12" s="17">
        <v>1</v>
      </c>
      <c r="F12" s="18">
        <f t="shared" si="0"/>
        <v>1000</v>
      </c>
    </row>
    <row r="13" spans="1:9" x14ac:dyDescent="0.25">
      <c r="A13" s="16" t="s">
        <v>61</v>
      </c>
      <c r="B13" s="17" t="s">
        <v>62</v>
      </c>
      <c r="C13" s="17" t="s">
        <v>63</v>
      </c>
      <c r="D13" s="17">
        <v>20</v>
      </c>
      <c r="E13" s="17">
        <v>2</v>
      </c>
      <c r="F13" s="18">
        <f t="shared" si="0"/>
        <v>1000</v>
      </c>
    </row>
    <row r="14" spans="1:9" x14ac:dyDescent="0.25">
      <c r="A14" s="16" t="s">
        <v>65</v>
      </c>
      <c r="B14" s="19" t="s">
        <v>74</v>
      </c>
      <c r="C14" s="17" t="s">
        <v>68</v>
      </c>
      <c r="D14" s="17">
        <v>65</v>
      </c>
      <c r="E14" s="17">
        <v>2</v>
      </c>
      <c r="F14" s="18">
        <f t="shared" si="0"/>
        <v>3250</v>
      </c>
    </row>
    <row r="15" spans="1:9" x14ac:dyDescent="0.25">
      <c r="A15" s="16" t="s">
        <v>67</v>
      </c>
      <c r="B15" s="19" t="s">
        <v>74</v>
      </c>
      <c r="C15" s="17" t="s">
        <v>71</v>
      </c>
      <c r="D15" s="17">
        <v>98</v>
      </c>
      <c r="E15" s="17">
        <v>1</v>
      </c>
      <c r="F15" s="18">
        <f t="shared" si="0"/>
        <v>4900</v>
      </c>
    </row>
    <row r="16" spans="1:9" x14ac:dyDescent="0.25">
      <c r="A16" s="16" t="s">
        <v>69</v>
      </c>
      <c r="B16" s="17" t="s">
        <v>62</v>
      </c>
      <c r="C16" s="17" t="s">
        <v>71</v>
      </c>
      <c r="D16" s="17">
        <v>48</v>
      </c>
      <c r="E16" s="17">
        <v>2</v>
      </c>
      <c r="F16" s="18">
        <f t="shared" si="0"/>
        <v>2400</v>
      </c>
    </row>
    <row r="17" spans="1:6" x14ac:dyDescent="0.25">
      <c r="A17" s="16" t="s">
        <v>72</v>
      </c>
      <c r="B17" s="17" t="s">
        <v>70</v>
      </c>
      <c r="C17" s="17" t="s">
        <v>75</v>
      </c>
      <c r="D17" s="17">
        <v>45</v>
      </c>
      <c r="E17" s="17">
        <v>1</v>
      </c>
      <c r="F17" s="18">
        <f t="shared" si="0"/>
        <v>2250</v>
      </c>
    </row>
    <row r="18" spans="1:6" x14ac:dyDescent="0.25">
      <c r="A18" s="16" t="s">
        <v>73</v>
      </c>
      <c r="B18" s="17" t="s">
        <v>70</v>
      </c>
      <c r="C18" s="17" t="s">
        <v>77</v>
      </c>
      <c r="D18" s="17">
        <v>62</v>
      </c>
      <c r="E18" s="17">
        <v>2</v>
      </c>
      <c r="F18" s="18">
        <f t="shared" si="0"/>
        <v>3100</v>
      </c>
    </row>
    <row r="19" spans="1:6" x14ac:dyDescent="0.25">
      <c r="A19" s="16" t="s">
        <v>76</v>
      </c>
      <c r="B19" s="17" t="s">
        <v>74</v>
      </c>
      <c r="C19" s="17" t="s">
        <v>79</v>
      </c>
      <c r="D19" s="17">
        <v>35</v>
      </c>
      <c r="E19" s="17">
        <v>2</v>
      </c>
      <c r="F19" s="18">
        <f t="shared" si="0"/>
        <v>1750</v>
      </c>
    </row>
    <row r="20" spans="1:6" x14ac:dyDescent="0.25">
      <c r="A20" s="16" t="s">
        <v>78</v>
      </c>
      <c r="B20" s="17" t="s">
        <v>70</v>
      </c>
      <c r="C20" s="17" t="s">
        <v>79</v>
      </c>
      <c r="D20" s="17">
        <v>64</v>
      </c>
      <c r="E20" s="17">
        <v>1</v>
      </c>
      <c r="F20" s="18">
        <f t="shared" si="0"/>
        <v>3200</v>
      </c>
    </row>
    <row r="21" spans="1:6" x14ac:dyDescent="0.25">
      <c r="A21" s="16" t="s">
        <v>80</v>
      </c>
      <c r="B21" s="17" t="s">
        <v>74</v>
      </c>
      <c r="C21" s="17" t="s">
        <v>82</v>
      </c>
      <c r="D21" s="17">
        <v>58</v>
      </c>
      <c r="E21" s="17">
        <v>2</v>
      </c>
      <c r="F21" s="18">
        <f t="shared" si="0"/>
        <v>2900</v>
      </c>
    </row>
    <row r="22" spans="1:6" x14ac:dyDescent="0.25">
      <c r="A22" s="16" t="s">
        <v>81</v>
      </c>
      <c r="B22" s="17" t="s">
        <v>74</v>
      </c>
      <c r="C22" s="17" t="s">
        <v>63</v>
      </c>
      <c r="D22" s="17">
        <v>65</v>
      </c>
      <c r="E22" s="17">
        <v>1</v>
      </c>
      <c r="F22" s="18">
        <f t="shared" si="0"/>
        <v>3250</v>
      </c>
    </row>
    <row r="23" spans="1:6" x14ac:dyDescent="0.25">
      <c r="A23" s="16" t="s">
        <v>61</v>
      </c>
      <c r="B23" s="17" t="s">
        <v>62</v>
      </c>
      <c r="C23" s="17" t="s">
        <v>63</v>
      </c>
      <c r="D23" s="17">
        <v>12</v>
      </c>
      <c r="E23" s="17">
        <v>2</v>
      </c>
      <c r="F23" s="18">
        <f t="shared" si="0"/>
        <v>600</v>
      </c>
    </row>
    <row r="24" spans="1:6" x14ac:dyDescent="0.25">
      <c r="A24" s="16" t="s">
        <v>65</v>
      </c>
      <c r="B24" s="17" t="s">
        <v>62</v>
      </c>
      <c r="C24" s="17" t="s">
        <v>68</v>
      </c>
      <c r="D24" s="17">
        <v>60</v>
      </c>
      <c r="E24" s="17">
        <v>2</v>
      </c>
      <c r="F24" s="18">
        <f t="shared" si="0"/>
        <v>3000</v>
      </c>
    </row>
    <row r="25" spans="1:6" x14ac:dyDescent="0.25">
      <c r="A25" s="16" t="s">
        <v>67</v>
      </c>
      <c r="B25" s="17" t="s">
        <v>62</v>
      </c>
      <c r="C25" s="17" t="s">
        <v>71</v>
      </c>
      <c r="D25" s="17">
        <v>48</v>
      </c>
      <c r="E25" s="17">
        <v>1</v>
      </c>
      <c r="F25" s="18">
        <f t="shared" si="0"/>
        <v>2400</v>
      </c>
    </row>
    <row r="26" spans="1:6" x14ac:dyDescent="0.25">
      <c r="A26" s="16" t="s">
        <v>69</v>
      </c>
      <c r="B26" s="17" t="s">
        <v>62</v>
      </c>
      <c r="C26" s="17" t="s">
        <v>71</v>
      </c>
      <c r="D26" s="17">
        <v>5</v>
      </c>
      <c r="E26" s="17">
        <v>2</v>
      </c>
      <c r="F26" s="18">
        <f t="shared" si="0"/>
        <v>250</v>
      </c>
    </row>
    <row r="27" spans="1:6" x14ac:dyDescent="0.25">
      <c r="A27" s="16" t="s">
        <v>72</v>
      </c>
      <c r="B27" s="17" t="s">
        <v>70</v>
      </c>
      <c r="C27" s="17" t="s">
        <v>75</v>
      </c>
      <c r="D27" s="17">
        <v>1</v>
      </c>
      <c r="E27" s="17">
        <v>1</v>
      </c>
      <c r="F27" s="18">
        <f t="shared" si="0"/>
        <v>50</v>
      </c>
    </row>
    <row r="28" spans="1:6" x14ac:dyDescent="0.25">
      <c r="A28" s="16" t="s">
        <v>73</v>
      </c>
      <c r="B28" s="17" t="s">
        <v>70</v>
      </c>
      <c r="C28" s="17" t="s">
        <v>77</v>
      </c>
      <c r="D28" s="17">
        <v>96</v>
      </c>
      <c r="E28" s="17">
        <v>2</v>
      </c>
      <c r="F28" s="18">
        <f t="shared" si="0"/>
        <v>4800</v>
      </c>
    </row>
    <row r="29" spans="1:6" x14ac:dyDescent="0.25">
      <c r="A29" s="16" t="s">
        <v>76</v>
      </c>
      <c r="B29" s="17" t="s">
        <v>74</v>
      </c>
      <c r="C29" s="17" t="s">
        <v>79</v>
      </c>
      <c r="D29" s="17">
        <v>14</v>
      </c>
      <c r="E29" s="17">
        <v>2</v>
      </c>
      <c r="F29" s="18">
        <f t="shared" si="0"/>
        <v>700</v>
      </c>
    </row>
    <row r="30" spans="1:6" x14ac:dyDescent="0.25">
      <c r="A30" s="16" t="s">
        <v>78</v>
      </c>
      <c r="B30" s="17" t="s">
        <v>70</v>
      </c>
      <c r="C30" s="17" t="s">
        <v>79</v>
      </c>
      <c r="D30" s="17">
        <v>32</v>
      </c>
      <c r="E30" s="17">
        <v>1</v>
      </c>
      <c r="F30" s="18">
        <f t="shared" si="0"/>
        <v>1600</v>
      </c>
    </row>
    <row r="31" spans="1:6" x14ac:dyDescent="0.25">
      <c r="A31" s="16" t="s">
        <v>80</v>
      </c>
      <c r="B31" s="17" t="s">
        <v>74</v>
      </c>
      <c r="C31" s="17" t="s">
        <v>82</v>
      </c>
      <c r="D31" s="17">
        <v>32</v>
      </c>
      <c r="E31" s="17">
        <v>2</v>
      </c>
      <c r="F31" s="18">
        <f t="shared" si="0"/>
        <v>1600</v>
      </c>
    </row>
    <row r="32" spans="1:6" x14ac:dyDescent="0.25">
      <c r="A32" s="16" t="s">
        <v>81</v>
      </c>
      <c r="B32" s="17" t="s">
        <v>74</v>
      </c>
      <c r="C32" s="17" t="s">
        <v>63</v>
      </c>
      <c r="D32" s="17">
        <v>20</v>
      </c>
      <c r="E32" s="17">
        <v>1</v>
      </c>
      <c r="F32" s="18">
        <f t="shared" si="0"/>
        <v>1000</v>
      </c>
    </row>
    <row r="33" spans="1:6" x14ac:dyDescent="0.25">
      <c r="A33" s="16" t="s">
        <v>61</v>
      </c>
      <c r="B33" s="17" t="s">
        <v>62</v>
      </c>
      <c r="C33" s="17" t="s">
        <v>63</v>
      </c>
      <c r="D33" s="17">
        <v>4</v>
      </c>
      <c r="E33" s="17">
        <v>2</v>
      </c>
      <c r="F33" s="18">
        <f t="shared" si="0"/>
        <v>200</v>
      </c>
    </row>
    <row r="34" spans="1:6" x14ac:dyDescent="0.25">
      <c r="A34" s="16" t="s">
        <v>65</v>
      </c>
      <c r="B34" s="17" t="s">
        <v>62</v>
      </c>
      <c r="C34" s="17" t="s">
        <v>68</v>
      </c>
      <c r="D34" s="17">
        <v>60</v>
      </c>
      <c r="E34" s="17">
        <v>2</v>
      </c>
      <c r="F34" s="18">
        <f t="shared" si="0"/>
        <v>3000</v>
      </c>
    </row>
    <row r="35" spans="1:6" x14ac:dyDescent="0.25">
      <c r="A35" s="16" t="s">
        <v>67</v>
      </c>
      <c r="B35" s="17" t="s">
        <v>62</v>
      </c>
      <c r="C35" s="17" t="s">
        <v>71</v>
      </c>
      <c r="D35" s="17">
        <v>9</v>
      </c>
      <c r="E35" s="17">
        <v>1</v>
      </c>
      <c r="F35" s="18">
        <f t="shared" si="0"/>
        <v>450</v>
      </c>
    </row>
    <row r="36" spans="1:6" x14ac:dyDescent="0.25">
      <c r="A36" s="16" t="s">
        <v>69</v>
      </c>
      <c r="B36" s="17" t="s">
        <v>62</v>
      </c>
      <c r="C36" s="17" t="s">
        <v>71</v>
      </c>
      <c r="D36" s="17">
        <v>78</v>
      </c>
      <c r="E36" s="17">
        <v>2</v>
      </c>
      <c r="F36" s="18">
        <f t="shared" si="0"/>
        <v>3900</v>
      </c>
    </row>
    <row r="37" spans="1:6" x14ac:dyDescent="0.25">
      <c r="A37" s="16" t="s">
        <v>72</v>
      </c>
      <c r="B37" s="17" t="s">
        <v>70</v>
      </c>
      <c r="C37" s="17" t="s">
        <v>75</v>
      </c>
      <c r="D37" s="17">
        <v>45</v>
      </c>
      <c r="E37" s="17">
        <v>1</v>
      </c>
      <c r="F37" s="18">
        <f t="shared" si="0"/>
        <v>2250</v>
      </c>
    </row>
    <row r="38" spans="1:6" x14ac:dyDescent="0.25">
      <c r="A38" s="16" t="s">
        <v>73</v>
      </c>
      <c r="B38" s="17" t="s">
        <v>70</v>
      </c>
      <c r="C38" s="17" t="s">
        <v>77</v>
      </c>
      <c r="D38" s="17">
        <v>62</v>
      </c>
      <c r="E38" s="17">
        <v>2</v>
      </c>
      <c r="F38" s="18">
        <f t="shared" si="0"/>
        <v>3100</v>
      </c>
    </row>
    <row r="39" spans="1:6" x14ac:dyDescent="0.25">
      <c r="A39" s="16" t="s">
        <v>76</v>
      </c>
      <c r="B39" s="17" t="s">
        <v>74</v>
      </c>
      <c r="C39" s="17" t="s">
        <v>79</v>
      </c>
      <c r="D39" s="17">
        <v>98</v>
      </c>
      <c r="E39" s="17">
        <v>2</v>
      </c>
      <c r="F39" s="18">
        <f t="shared" si="0"/>
        <v>4900</v>
      </c>
    </row>
    <row r="40" spans="1:6" x14ac:dyDescent="0.25">
      <c r="A40" s="16" t="s">
        <v>78</v>
      </c>
      <c r="B40" s="17" t="s">
        <v>70</v>
      </c>
      <c r="C40" s="17" t="s">
        <v>79</v>
      </c>
      <c r="D40" s="17">
        <v>14</v>
      </c>
      <c r="E40" s="17">
        <v>1</v>
      </c>
      <c r="F40" s="18">
        <f t="shared" si="0"/>
        <v>700</v>
      </c>
    </row>
    <row r="41" spans="1:6" ht="15.75" thickBot="1" x14ac:dyDescent="0.3">
      <c r="A41" s="20" t="s">
        <v>80</v>
      </c>
      <c r="B41" s="21" t="s">
        <v>74</v>
      </c>
      <c r="C41" s="21" t="s">
        <v>82</v>
      </c>
      <c r="D41" s="21">
        <v>23</v>
      </c>
      <c r="E41" s="21">
        <v>2</v>
      </c>
      <c r="F41" s="22">
        <f t="shared" si="0"/>
        <v>1150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00B050"/>
  </sheetPr>
  <dimension ref="A1:E29"/>
  <sheetViews>
    <sheetView workbookViewId="0">
      <selection activeCell="B4" sqref="B4"/>
    </sheetView>
  </sheetViews>
  <sheetFormatPr defaultRowHeight="15" x14ac:dyDescent="0.25"/>
  <cols>
    <col min="1" max="1" width="22.42578125" customWidth="1"/>
    <col min="2" max="2" width="25.5703125" bestFit="1" customWidth="1"/>
    <col min="4" max="4" width="18.28515625" customWidth="1"/>
    <col min="5" max="5" width="18.85546875" customWidth="1"/>
  </cols>
  <sheetData>
    <row r="1" spans="1:5" x14ac:dyDescent="0.25">
      <c r="A1" t="s">
        <v>83</v>
      </c>
      <c r="B1">
        <v>2</v>
      </c>
    </row>
    <row r="2" spans="1:5" x14ac:dyDescent="0.25">
      <c r="A2" t="s">
        <v>84</v>
      </c>
      <c r="B2">
        <v>8</v>
      </c>
    </row>
    <row r="3" spans="1:5" ht="30" x14ac:dyDescent="0.4">
      <c r="A3" t="s">
        <v>85</v>
      </c>
      <c r="B3" s="74"/>
      <c r="C3" t="s">
        <v>86</v>
      </c>
    </row>
    <row r="4" spans="1:5" ht="30" x14ac:dyDescent="0.4">
      <c r="A4" t="s">
        <v>87</v>
      </c>
      <c r="B4" s="75"/>
    </row>
    <row r="7" spans="1:5" x14ac:dyDescent="0.25">
      <c r="A7" t="s">
        <v>88</v>
      </c>
      <c r="B7" s="23">
        <v>1.72</v>
      </c>
    </row>
    <row r="10" spans="1:5" x14ac:dyDescent="0.25">
      <c r="A10" s="88" t="s">
        <v>89</v>
      </c>
      <c r="B10" s="88"/>
      <c r="C10" s="88"/>
      <c r="D10" s="88"/>
      <c r="E10" s="88"/>
    </row>
    <row r="11" spans="1:5" x14ac:dyDescent="0.25">
      <c r="A11" s="24" t="s">
        <v>90</v>
      </c>
      <c r="B11" s="24" t="s">
        <v>83</v>
      </c>
      <c r="C11" s="24" t="s">
        <v>91</v>
      </c>
      <c r="D11" s="24" t="s">
        <v>92</v>
      </c>
      <c r="E11" s="24" t="s">
        <v>93</v>
      </c>
    </row>
    <row r="12" spans="1:5" x14ac:dyDescent="0.25">
      <c r="A12" s="24">
        <v>1</v>
      </c>
      <c r="B12" s="25">
        <v>0.7</v>
      </c>
      <c r="C12" s="25">
        <v>0.44</v>
      </c>
      <c r="D12" s="26">
        <v>0.88</v>
      </c>
      <c r="E12" s="25">
        <v>0.55000000000000004</v>
      </c>
    </row>
    <row r="13" spans="1:5" x14ac:dyDescent="0.25">
      <c r="A13" s="24">
        <v>2</v>
      </c>
      <c r="B13" s="25">
        <v>0.7</v>
      </c>
      <c r="C13" s="25">
        <v>0.54</v>
      </c>
      <c r="D13" s="26">
        <v>0.12</v>
      </c>
      <c r="E13" s="25">
        <v>0.45</v>
      </c>
    </row>
    <row r="14" spans="1:5" x14ac:dyDescent="0.25">
      <c r="A14" s="24">
        <v>3</v>
      </c>
      <c r="B14" s="25">
        <v>0.88</v>
      </c>
      <c r="C14" s="25">
        <v>0.64</v>
      </c>
      <c r="D14" s="26">
        <v>1.22</v>
      </c>
      <c r="E14" s="25">
        <v>1</v>
      </c>
    </row>
    <row r="15" spans="1:5" x14ac:dyDescent="0.25">
      <c r="A15" s="24">
        <v>4</v>
      </c>
      <c r="B15" s="25">
        <v>7.0000000000000007E-2</v>
      </c>
      <c r="C15" s="25">
        <v>0.39</v>
      </c>
      <c r="D15" s="26">
        <v>3.45</v>
      </c>
      <c r="E15" s="25">
        <v>0.76</v>
      </c>
    </row>
    <row r="16" spans="1:5" x14ac:dyDescent="0.25">
      <c r="A16" s="24">
        <v>5</v>
      </c>
      <c r="B16" s="25">
        <v>0.66</v>
      </c>
      <c r="C16" s="25">
        <v>0.55000000000000004</v>
      </c>
      <c r="D16" s="26">
        <v>4.5599999999999996</v>
      </c>
      <c r="E16" s="25">
        <v>0.54</v>
      </c>
    </row>
    <row r="17" spans="1:5" x14ac:dyDescent="0.25">
      <c r="A17" s="24">
        <v>6</v>
      </c>
      <c r="B17" s="25">
        <v>0.65</v>
      </c>
      <c r="C17" s="25">
        <v>0.35</v>
      </c>
      <c r="D17" s="26">
        <v>5.67</v>
      </c>
      <c r="E17" s="25">
        <v>0.8</v>
      </c>
    </row>
    <row r="18" spans="1:5" x14ac:dyDescent="0.25">
      <c r="A18" s="24">
        <v>7</v>
      </c>
      <c r="B18" s="25">
        <v>0.65</v>
      </c>
      <c r="C18" s="25">
        <v>0.22</v>
      </c>
      <c r="D18" s="26">
        <v>6.78</v>
      </c>
      <c r="E18" s="25">
        <v>0.9</v>
      </c>
    </row>
    <row r="19" spans="1:5" x14ac:dyDescent="0.25">
      <c r="A19" s="24">
        <v>8</v>
      </c>
      <c r="B19" s="25">
        <v>0.49</v>
      </c>
      <c r="C19" s="25">
        <v>0.12</v>
      </c>
      <c r="D19" s="26">
        <v>7.89</v>
      </c>
      <c r="E19" s="25">
        <v>0.55000000000000004</v>
      </c>
    </row>
    <row r="20" spans="1:5" x14ac:dyDescent="0.25">
      <c r="A20" s="24">
        <v>9</v>
      </c>
      <c r="B20" s="25">
        <v>0.76</v>
      </c>
      <c r="C20" s="25">
        <v>0.28999999999999998</v>
      </c>
      <c r="D20" s="26">
        <v>8.9</v>
      </c>
      <c r="E20" s="25">
        <v>0.76</v>
      </c>
    </row>
    <row r="21" spans="1:5" x14ac:dyDescent="0.25">
      <c r="A21" s="24">
        <v>10</v>
      </c>
      <c r="B21" s="25">
        <v>0.86</v>
      </c>
      <c r="C21" s="25">
        <v>0.25</v>
      </c>
      <c r="D21" s="26">
        <v>9</v>
      </c>
      <c r="E21" s="25">
        <v>0.8</v>
      </c>
    </row>
    <row r="23" spans="1:5" x14ac:dyDescent="0.25">
      <c r="A23" t="s">
        <v>85</v>
      </c>
      <c r="B23" t="s">
        <v>94</v>
      </c>
    </row>
    <row r="24" spans="1:5" x14ac:dyDescent="0.25">
      <c r="B24" t="s">
        <v>95</v>
      </c>
    </row>
    <row r="25" spans="1:5" x14ac:dyDescent="0.25">
      <c r="A25" s="27" t="s">
        <v>96</v>
      </c>
    </row>
    <row r="27" spans="1:5" x14ac:dyDescent="0.25">
      <c r="A27" t="s">
        <v>97</v>
      </c>
      <c r="B27" t="s">
        <v>98</v>
      </c>
    </row>
    <row r="28" spans="1:5" x14ac:dyDescent="0.25">
      <c r="B28" s="2" t="s">
        <v>99</v>
      </c>
    </row>
    <row r="29" spans="1:5" x14ac:dyDescent="0.25">
      <c r="B29" t="s">
        <v>100</v>
      </c>
    </row>
  </sheetData>
  <mergeCells count="1">
    <mergeCell ref="A10:E10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00B050"/>
  </sheetPr>
  <dimension ref="A1:G26"/>
  <sheetViews>
    <sheetView topLeftCell="A4" workbookViewId="0">
      <selection activeCell="G8" sqref="G8"/>
    </sheetView>
  </sheetViews>
  <sheetFormatPr defaultRowHeight="15" x14ac:dyDescent="0.25"/>
  <cols>
    <col min="2" max="2" width="22.5703125" customWidth="1"/>
  </cols>
  <sheetData>
    <row r="1" spans="1:7" x14ac:dyDescent="0.25">
      <c r="A1" s="89" t="s">
        <v>101</v>
      </c>
      <c r="B1" s="89"/>
      <c r="C1" s="89"/>
      <c r="D1" s="89"/>
    </row>
    <row r="3" spans="1:7" x14ac:dyDescent="0.25">
      <c r="A3" s="90" t="s">
        <v>102</v>
      </c>
      <c r="B3" s="90"/>
      <c r="C3" s="24">
        <v>7</v>
      </c>
    </row>
    <row r="4" spans="1:7" x14ac:dyDescent="0.25">
      <c r="A4" s="90" t="s">
        <v>103</v>
      </c>
      <c r="B4" s="90"/>
      <c r="C4" s="24">
        <v>5</v>
      </c>
    </row>
    <row r="5" spans="1:7" x14ac:dyDescent="0.25">
      <c r="A5" s="90" t="s">
        <v>104</v>
      </c>
      <c r="B5" s="90"/>
      <c r="C5" s="24">
        <v>50</v>
      </c>
    </row>
    <row r="6" spans="1:7" x14ac:dyDescent="0.25">
      <c r="A6" s="90" t="s">
        <v>105</v>
      </c>
      <c r="B6" s="90"/>
      <c r="C6" s="24">
        <v>32</v>
      </c>
    </row>
    <row r="7" spans="1:7" x14ac:dyDescent="0.25">
      <c r="A7" s="90" t="s">
        <v>106</v>
      </c>
      <c r="B7" s="90"/>
      <c r="C7" s="28">
        <f>IF(VLOOKUP(C3,B11:D18,2,0)*VLOOKUP(C4,B11:D18,3,0)&gt;VLOOKUP(C3,B11:D18,2,0)*VLOOKUP(C4,B11:D18,3,0)*C6,"Composição inválida",(VLOOKUP(C3,B11:D18,2,0)*VLOOKUP(C4,B11:D18,3,0)))</f>
        <v>22</v>
      </c>
      <c r="D7" t="s">
        <v>107</v>
      </c>
      <c r="E7" t="s">
        <v>44</v>
      </c>
    </row>
    <row r="8" spans="1:7" x14ac:dyDescent="0.25">
      <c r="G8">
        <f>C7*C6</f>
        <v>704</v>
      </c>
    </row>
    <row r="10" spans="1:7" x14ac:dyDescent="0.25">
      <c r="A10" s="89" t="s">
        <v>108</v>
      </c>
      <c r="B10" s="89"/>
      <c r="C10" s="89"/>
      <c r="D10" s="89"/>
    </row>
    <row r="11" spans="1:7" x14ac:dyDescent="0.25">
      <c r="B11" s="24" t="s">
        <v>109</v>
      </c>
      <c r="C11" s="24" t="s">
        <v>110</v>
      </c>
      <c r="D11" s="24" t="s">
        <v>111</v>
      </c>
      <c r="G11">
        <f>VLOOKUP(C3,B11:D18,2,0)</f>
        <v>5.5</v>
      </c>
    </row>
    <row r="12" spans="1:7" x14ac:dyDescent="0.25">
      <c r="B12" s="24">
        <v>1</v>
      </c>
      <c r="C12" s="24">
        <v>2.5</v>
      </c>
      <c r="D12" s="24">
        <v>1.5</v>
      </c>
      <c r="G12">
        <f>VLOOKUP(C4,B11:D18,3,0)</f>
        <v>4</v>
      </c>
    </row>
    <row r="13" spans="1:7" x14ac:dyDescent="0.25">
      <c r="B13" s="24">
        <v>2</v>
      </c>
      <c r="C13" s="24">
        <v>3</v>
      </c>
      <c r="D13" s="24">
        <v>1.5</v>
      </c>
    </row>
    <row r="14" spans="1:7" x14ac:dyDescent="0.25">
      <c r="B14" s="24">
        <v>3</v>
      </c>
      <c r="C14" s="24">
        <v>3.5</v>
      </c>
      <c r="D14" s="24">
        <v>2.5</v>
      </c>
    </row>
    <row r="15" spans="1:7" x14ac:dyDescent="0.25">
      <c r="B15" s="24">
        <v>4</v>
      </c>
      <c r="C15" s="24">
        <v>4</v>
      </c>
      <c r="D15" s="24">
        <v>3.5</v>
      </c>
    </row>
    <row r="16" spans="1:7" x14ac:dyDescent="0.25">
      <c r="B16" s="24">
        <v>5</v>
      </c>
      <c r="C16" s="24">
        <v>4.5</v>
      </c>
      <c r="D16" s="24">
        <v>4</v>
      </c>
    </row>
    <row r="17" spans="1:4" x14ac:dyDescent="0.25">
      <c r="B17" s="24">
        <v>6</v>
      </c>
      <c r="C17" s="24">
        <v>5</v>
      </c>
      <c r="D17" s="24">
        <v>2.5</v>
      </c>
    </row>
    <row r="18" spans="1:4" x14ac:dyDescent="0.25">
      <c r="B18" s="24">
        <v>7</v>
      </c>
      <c r="C18" s="24">
        <v>5.5</v>
      </c>
      <c r="D18" s="24">
        <v>3</v>
      </c>
    </row>
    <row r="20" spans="1:4" x14ac:dyDescent="0.25">
      <c r="A20" t="s">
        <v>112</v>
      </c>
    </row>
    <row r="21" spans="1:4" x14ac:dyDescent="0.25">
      <c r="A21" t="s">
        <v>113</v>
      </c>
    </row>
    <row r="22" spans="1:4" x14ac:dyDescent="0.25">
      <c r="A22" t="s">
        <v>114</v>
      </c>
    </row>
    <row r="23" spans="1:4" x14ac:dyDescent="0.25">
      <c r="A23" t="s">
        <v>115</v>
      </c>
    </row>
    <row r="24" spans="1:4" x14ac:dyDescent="0.25">
      <c r="A24" t="s">
        <v>116</v>
      </c>
    </row>
    <row r="25" spans="1:4" x14ac:dyDescent="0.25">
      <c r="A25" t="s">
        <v>117</v>
      </c>
    </row>
    <row r="26" spans="1:4" x14ac:dyDescent="0.25">
      <c r="A26" t="s">
        <v>118</v>
      </c>
    </row>
  </sheetData>
  <mergeCells count="7">
    <mergeCell ref="A10:D10"/>
    <mergeCell ref="A1:D1"/>
    <mergeCell ref="A3:B3"/>
    <mergeCell ref="A4:B4"/>
    <mergeCell ref="A5:B5"/>
    <mergeCell ref="A6:B6"/>
    <mergeCell ref="A7:B7"/>
  </mergeCells>
  <dataValidations count="1">
    <dataValidation type="list" allowBlank="1" showInputMessage="1" showErrorMessage="1" errorTitle="Erro de entrada" error="Medicamento inexistente favor redigitar." sqref="C3:C4" xr:uid="{00000000-0002-0000-0600-000000000000}">
      <formula1>$B$12:$B$18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00B050"/>
  </sheetPr>
  <dimension ref="A1:G30"/>
  <sheetViews>
    <sheetView workbookViewId="0">
      <selection activeCell="D2" sqref="D2"/>
    </sheetView>
  </sheetViews>
  <sheetFormatPr defaultRowHeight="15" x14ac:dyDescent="0.25"/>
  <cols>
    <col min="1" max="1" width="11.85546875" customWidth="1"/>
    <col min="2" max="2" width="15.5703125" bestFit="1" customWidth="1"/>
    <col min="3" max="4" width="14" customWidth="1"/>
    <col min="6" max="6" width="13.28515625" customWidth="1"/>
    <col min="257" max="257" width="11.85546875" customWidth="1"/>
    <col min="258" max="258" width="15.5703125" bestFit="1" customWidth="1"/>
    <col min="259" max="260" width="14" customWidth="1"/>
    <col min="262" max="262" width="13.28515625" customWidth="1"/>
    <col min="513" max="513" width="11.85546875" customWidth="1"/>
    <col min="514" max="514" width="15.5703125" bestFit="1" customWidth="1"/>
    <col min="515" max="516" width="14" customWidth="1"/>
    <col min="518" max="518" width="13.28515625" customWidth="1"/>
    <col min="769" max="769" width="11.85546875" customWidth="1"/>
    <col min="770" max="770" width="15.5703125" bestFit="1" customWidth="1"/>
    <col min="771" max="772" width="14" customWidth="1"/>
    <col min="774" max="774" width="13.28515625" customWidth="1"/>
    <col min="1025" max="1025" width="11.85546875" customWidth="1"/>
    <col min="1026" max="1026" width="15.5703125" bestFit="1" customWidth="1"/>
    <col min="1027" max="1028" width="14" customWidth="1"/>
    <col min="1030" max="1030" width="13.28515625" customWidth="1"/>
    <col min="1281" max="1281" width="11.85546875" customWidth="1"/>
    <col min="1282" max="1282" width="15.5703125" bestFit="1" customWidth="1"/>
    <col min="1283" max="1284" width="14" customWidth="1"/>
    <col min="1286" max="1286" width="13.28515625" customWidth="1"/>
    <col min="1537" max="1537" width="11.85546875" customWidth="1"/>
    <col min="1538" max="1538" width="15.5703125" bestFit="1" customWidth="1"/>
    <col min="1539" max="1540" width="14" customWidth="1"/>
    <col min="1542" max="1542" width="13.28515625" customWidth="1"/>
    <col min="1793" max="1793" width="11.85546875" customWidth="1"/>
    <col min="1794" max="1794" width="15.5703125" bestFit="1" customWidth="1"/>
    <col min="1795" max="1796" width="14" customWidth="1"/>
    <col min="1798" max="1798" width="13.28515625" customWidth="1"/>
    <col min="2049" max="2049" width="11.85546875" customWidth="1"/>
    <col min="2050" max="2050" width="15.5703125" bestFit="1" customWidth="1"/>
    <col min="2051" max="2052" width="14" customWidth="1"/>
    <col min="2054" max="2054" width="13.28515625" customWidth="1"/>
    <col min="2305" max="2305" width="11.85546875" customWidth="1"/>
    <col min="2306" max="2306" width="15.5703125" bestFit="1" customWidth="1"/>
    <col min="2307" max="2308" width="14" customWidth="1"/>
    <col min="2310" max="2310" width="13.28515625" customWidth="1"/>
    <col min="2561" max="2561" width="11.85546875" customWidth="1"/>
    <col min="2562" max="2562" width="15.5703125" bestFit="1" customWidth="1"/>
    <col min="2563" max="2564" width="14" customWidth="1"/>
    <col min="2566" max="2566" width="13.28515625" customWidth="1"/>
    <col min="2817" max="2817" width="11.85546875" customWidth="1"/>
    <col min="2818" max="2818" width="15.5703125" bestFit="1" customWidth="1"/>
    <col min="2819" max="2820" width="14" customWidth="1"/>
    <col min="2822" max="2822" width="13.28515625" customWidth="1"/>
    <col min="3073" max="3073" width="11.85546875" customWidth="1"/>
    <col min="3074" max="3074" width="15.5703125" bestFit="1" customWidth="1"/>
    <col min="3075" max="3076" width="14" customWidth="1"/>
    <col min="3078" max="3078" width="13.28515625" customWidth="1"/>
    <col min="3329" max="3329" width="11.85546875" customWidth="1"/>
    <col min="3330" max="3330" width="15.5703125" bestFit="1" customWidth="1"/>
    <col min="3331" max="3332" width="14" customWidth="1"/>
    <col min="3334" max="3334" width="13.28515625" customWidth="1"/>
    <col min="3585" max="3585" width="11.85546875" customWidth="1"/>
    <col min="3586" max="3586" width="15.5703125" bestFit="1" customWidth="1"/>
    <col min="3587" max="3588" width="14" customWidth="1"/>
    <col min="3590" max="3590" width="13.28515625" customWidth="1"/>
    <col min="3841" max="3841" width="11.85546875" customWidth="1"/>
    <col min="3842" max="3842" width="15.5703125" bestFit="1" customWidth="1"/>
    <col min="3843" max="3844" width="14" customWidth="1"/>
    <col min="3846" max="3846" width="13.28515625" customWidth="1"/>
    <col min="4097" max="4097" width="11.85546875" customWidth="1"/>
    <col min="4098" max="4098" width="15.5703125" bestFit="1" customWidth="1"/>
    <col min="4099" max="4100" width="14" customWidth="1"/>
    <col min="4102" max="4102" width="13.28515625" customWidth="1"/>
    <col min="4353" max="4353" width="11.85546875" customWidth="1"/>
    <col min="4354" max="4354" width="15.5703125" bestFit="1" customWidth="1"/>
    <col min="4355" max="4356" width="14" customWidth="1"/>
    <col min="4358" max="4358" width="13.28515625" customWidth="1"/>
    <col min="4609" max="4609" width="11.85546875" customWidth="1"/>
    <col min="4610" max="4610" width="15.5703125" bestFit="1" customWidth="1"/>
    <col min="4611" max="4612" width="14" customWidth="1"/>
    <col min="4614" max="4614" width="13.28515625" customWidth="1"/>
    <col min="4865" max="4865" width="11.85546875" customWidth="1"/>
    <col min="4866" max="4866" width="15.5703125" bestFit="1" customWidth="1"/>
    <col min="4867" max="4868" width="14" customWidth="1"/>
    <col min="4870" max="4870" width="13.28515625" customWidth="1"/>
    <col min="5121" max="5121" width="11.85546875" customWidth="1"/>
    <col min="5122" max="5122" width="15.5703125" bestFit="1" customWidth="1"/>
    <col min="5123" max="5124" width="14" customWidth="1"/>
    <col min="5126" max="5126" width="13.28515625" customWidth="1"/>
    <col min="5377" max="5377" width="11.85546875" customWidth="1"/>
    <col min="5378" max="5378" width="15.5703125" bestFit="1" customWidth="1"/>
    <col min="5379" max="5380" width="14" customWidth="1"/>
    <col min="5382" max="5382" width="13.28515625" customWidth="1"/>
    <col min="5633" max="5633" width="11.85546875" customWidth="1"/>
    <col min="5634" max="5634" width="15.5703125" bestFit="1" customWidth="1"/>
    <col min="5635" max="5636" width="14" customWidth="1"/>
    <col min="5638" max="5638" width="13.28515625" customWidth="1"/>
    <col min="5889" max="5889" width="11.85546875" customWidth="1"/>
    <col min="5890" max="5890" width="15.5703125" bestFit="1" customWidth="1"/>
    <col min="5891" max="5892" width="14" customWidth="1"/>
    <col min="5894" max="5894" width="13.28515625" customWidth="1"/>
    <col min="6145" max="6145" width="11.85546875" customWidth="1"/>
    <col min="6146" max="6146" width="15.5703125" bestFit="1" customWidth="1"/>
    <col min="6147" max="6148" width="14" customWidth="1"/>
    <col min="6150" max="6150" width="13.28515625" customWidth="1"/>
    <col min="6401" max="6401" width="11.85546875" customWidth="1"/>
    <col min="6402" max="6402" width="15.5703125" bestFit="1" customWidth="1"/>
    <col min="6403" max="6404" width="14" customWidth="1"/>
    <col min="6406" max="6406" width="13.28515625" customWidth="1"/>
    <col min="6657" max="6657" width="11.85546875" customWidth="1"/>
    <col min="6658" max="6658" width="15.5703125" bestFit="1" customWidth="1"/>
    <col min="6659" max="6660" width="14" customWidth="1"/>
    <col min="6662" max="6662" width="13.28515625" customWidth="1"/>
    <col min="6913" max="6913" width="11.85546875" customWidth="1"/>
    <col min="6914" max="6914" width="15.5703125" bestFit="1" customWidth="1"/>
    <col min="6915" max="6916" width="14" customWidth="1"/>
    <col min="6918" max="6918" width="13.28515625" customWidth="1"/>
    <col min="7169" max="7169" width="11.85546875" customWidth="1"/>
    <col min="7170" max="7170" width="15.5703125" bestFit="1" customWidth="1"/>
    <col min="7171" max="7172" width="14" customWidth="1"/>
    <col min="7174" max="7174" width="13.28515625" customWidth="1"/>
    <col min="7425" max="7425" width="11.85546875" customWidth="1"/>
    <col min="7426" max="7426" width="15.5703125" bestFit="1" customWidth="1"/>
    <col min="7427" max="7428" width="14" customWidth="1"/>
    <col min="7430" max="7430" width="13.28515625" customWidth="1"/>
    <col min="7681" max="7681" width="11.85546875" customWidth="1"/>
    <col min="7682" max="7682" width="15.5703125" bestFit="1" customWidth="1"/>
    <col min="7683" max="7684" width="14" customWidth="1"/>
    <col min="7686" max="7686" width="13.28515625" customWidth="1"/>
    <col min="7937" max="7937" width="11.85546875" customWidth="1"/>
    <col min="7938" max="7938" width="15.5703125" bestFit="1" customWidth="1"/>
    <col min="7939" max="7940" width="14" customWidth="1"/>
    <col min="7942" max="7942" width="13.28515625" customWidth="1"/>
    <col min="8193" max="8193" width="11.85546875" customWidth="1"/>
    <col min="8194" max="8194" width="15.5703125" bestFit="1" customWidth="1"/>
    <col min="8195" max="8196" width="14" customWidth="1"/>
    <col min="8198" max="8198" width="13.28515625" customWidth="1"/>
    <col min="8449" max="8449" width="11.85546875" customWidth="1"/>
    <col min="8450" max="8450" width="15.5703125" bestFit="1" customWidth="1"/>
    <col min="8451" max="8452" width="14" customWidth="1"/>
    <col min="8454" max="8454" width="13.28515625" customWidth="1"/>
    <col min="8705" max="8705" width="11.85546875" customWidth="1"/>
    <col min="8706" max="8706" width="15.5703125" bestFit="1" customWidth="1"/>
    <col min="8707" max="8708" width="14" customWidth="1"/>
    <col min="8710" max="8710" width="13.28515625" customWidth="1"/>
    <col min="8961" max="8961" width="11.85546875" customWidth="1"/>
    <col min="8962" max="8962" width="15.5703125" bestFit="1" customWidth="1"/>
    <col min="8963" max="8964" width="14" customWidth="1"/>
    <col min="8966" max="8966" width="13.28515625" customWidth="1"/>
    <col min="9217" max="9217" width="11.85546875" customWidth="1"/>
    <col min="9218" max="9218" width="15.5703125" bestFit="1" customWidth="1"/>
    <col min="9219" max="9220" width="14" customWidth="1"/>
    <col min="9222" max="9222" width="13.28515625" customWidth="1"/>
    <col min="9473" max="9473" width="11.85546875" customWidth="1"/>
    <col min="9474" max="9474" width="15.5703125" bestFit="1" customWidth="1"/>
    <col min="9475" max="9476" width="14" customWidth="1"/>
    <col min="9478" max="9478" width="13.28515625" customWidth="1"/>
    <col min="9729" max="9729" width="11.85546875" customWidth="1"/>
    <col min="9730" max="9730" width="15.5703125" bestFit="1" customWidth="1"/>
    <col min="9731" max="9732" width="14" customWidth="1"/>
    <col min="9734" max="9734" width="13.28515625" customWidth="1"/>
    <col min="9985" max="9985" width="11.85546875" customWidth="1"/>
    <col min="9986" max="9986" width="15.5703125" bestFit="1" customWidth="1"/>
    <col min="9987" max="9988" width="14" customWidth="1"/>
    <col min="9990" max="9990" width="13.28515625" customWidth="1"/>
    <col min="10241" max="10241" width="11.85546875" customWidth="1"/>
    <col min="10242" max="10242" width="15.5703125" bestFit="1" customWidth="1"/>
    <col min="10243" max="10244" width="14" customWidth="1"/>
    <col min="10246" max="10246" width="13.28515625" customWidth="1"/>
    <col min="10497" max="10497" width="11.85546875" customWidth="1"/>
    <col min="10498" max="10498" width="15.5703125" bestFit="1" customWidth="1"/>
    <col min="10499" max="10500" width="14" customWidth="1"/>
    <col min="10502" max="10502" width="13.28515625" customWidth="1"/>
    <col min="10753" max="10753" width="11.85546875" customWidth="1"/>
    <col min="10754" max="10754" width="15.5703125" bestFit="1" customWidth="1"/>
    <col min="10755" max="10756" width="14" customWidth="1"/>
    <col min="10758" max="10758" width="13.28515625" customWidth="1"/>
    <col min="11009" max="11009" width="11.85546875" customWidth="1"/>
    <col min="11010" max="11010" width="15.5703125" bestFit="1" customWidth="1"/>
    <col min="11011" max="11012" width="14" customWidth="1"/>
    <col min="11014" max="11014" width="13.28515625" customWidth="1"/>
    <col min="11265" max="11265" width="11.85546875" customWidth="1"/>
    <col min="11266" max="11266" width="15.5703125" bestFit="1" customWidth="1"/>
    <col min="11267" max="11268" width="14" customWidth="1"/>
    <col min="11270" max="11270" width="13.28515625" customWidth="1"/>
    <col min="11521" max="11521" width="11.85546875" customWidth="1"/>
    <col min="11522" max="11522" width="15.5703125" bestFit="1" customWidth="1"/>
    <col min="11523" max="11524" width="14" customWidth="1"/>
    <col min="11526" max="11526" width="13.28515625" customWidth="1"/>
    <col min="11777" max="11777" width="11.85546875" customWidth="1"/>
    <col min="11778" max="11778" width="15.5703125" bestFit="1" customWidth="1"/>
    <col min="11779" max="11780" width="14" customWidth="1"/>
    <col min="11782" max="11782" width="13.28515625" customWidth="1"/>
    <col min="12033" max="12033" width="11.85546875" customWidth="1"/>
    <col min="12034" max="12034" width="15.5703125" bestFit="1" customWidth="1"/>
    <col min="12035" max="12036" width="14" customWidth="1"/>
    <col min="12038" max="12038" width="13.28515625" customWidth="1"/>
    <col min="12289" max="12289" width="11.85546875" customWidth="1"/>
    <col min="12290" max="12290" width="15.5703125" bestFit="1" customWidth="1"/>
    <col min="12291" max="12292" width="14" customWidth="1"/>
    <col min="12294" max="12294" width="13.28515625" customWidth="1"/>
    <col min="12545" max="12545" width="11.85546875" customWidth="1"/>
    <col min="12546" max="12546" width="15.5703125" bestFit="1" customWidth="1"/>
    <col min="12547" max="12548" width="14" customWidth="1"/>
    <col min="12550" max="12550" width="13.28515625" customWidth="1"/>
    <col min="12801" max="12801" width="11.85546875" customWidth="1"/>
    <col min="12802" max="12802" width="15.5703125" bestFit="1" customWidth="1"/>
    <col min="12803" max="12804" width="14" customWidth="1"/>
    <col min="12806" max="12806" width="13.28515625" customWidth="1"/>
    <col min="13057" max="13057" width="11.85546875" customWidth="1"/>
    <col min="13058" max="13058" width="15.5703125" bestFit="1" customWidth="1"/>
    <col min="13059" max="13060" width="14" customWidth="1"/>
    <col min="13062" max="13062" width="13.28515625" customWidth="1"/>
    <col min="13313" max="13313" width="11.85546875" customWidth="1"/>
    <col min="13314" max="13314" width="15.5703125" bestFit="1" customWidth="1"/>
    <col min="13315" max="13316" width="14" customWidth="1"/>
    <col min="13318" max="13318" width="13.28515625" customWidth="1"/>
    <col min="13569" max="13569" width="11.85546875" customWidth="1"/>
    <col min="13570" max="13570" width="15.5703125" bestFit="1" customWidth="1"/>
    <col min="13571" max="13572" width="14" customWidth="1"/>
    <col min="13574" max="13574" width="13.28515625" customWidth="1"/>
    <col min="13825" max="13825" width="11.85546875" customWidth="1"/>
    <col min="13826" max="13826" width="15.5703125" bestFit="1" customWidth="1"/>
    <col min="13827" max="13828" width="14" customWidth="1"/>
    <col min="13830" max="13830" width="13.28515625" customWidth="1"/>
    <col min="14081" max="14081" width="11.85546875" customWidth="1"/>
    <col min="14082" max="14082" width="15.5703125" bestFit="1" customWidth="1"/>
    <col min="14083" max="14084" width="14" customWidth="1"/>
    <col min="14086" max="14086" width="13.28515625" customWidth="1"/>
    <col min="14337" max="14337" width="11.85546875" customWidth="1"/>
    <col min="14338" max="14338" width="15.5703125" bestFit="1" customWidth="1"/>
    <col min="14339" max="14340" width="14" customWidth="1"/>
    <col min="14342" max="14342" width="13.28515625" customWidth="1"/>
    <col min="14593" max="14593" width="11.85546875" customWidth="1"/>
    <col min="14594" max="14594" width="15.5703125" bestFit="1" customWidth="1"/>
    <col min="14595" max="14596" width="14" customWidth="1"/>
    <col min="14598" max="14598" width="13.28515625" customWidth="1"/>
    <col min="14849" max="14849" width="11.85546875" customWidth="1"/>
    <col min="14850" max="14850" width="15.5703125" bestFit="1" customWidth="1"/>
    <col min="14851" max="14852" width="14" customWidth="1"/>
    <col min="14854" max="14854" width="13.28515625" customWidth="1"/>
    <col min="15105" max="15105" width="11.85546875" customWidth="1"/>
    <col min="15106" max="15106" width="15.5703125" bestFit="1" customWidth="1"/>
    <col min="15107" max="15108" width="14" customWidth="1"/>
    <col min="15110" max="15110" width="13.28515625" customWidth="1"/>
    <col min="15361" max="15361" width="11.85546875" customWidth="1"/>
    <col min="15362" max="15362" width="15.5703125" bestFit="1" customWidth="1"/>
    <col min="15363" max="15364" width="14" customWidth="1"/>
    <col min="15366" max="15366" width="13.28515625" customWidth="1"/>
    <col min="15617" max="15617" width="11.85546875" customWidth="1"/>
    <col min="15618" max="15618" width="15.5703125" bestFit="1" customWidth="1"/>
    <col min="15619" max="15620" width="14" customWidth="1"/>
    <col min="15622" max="15622" width="13.28515625" customWidth="1"/>
    <col min="15873" max="15873" width="11.85546875" customWidth="1"/>
    <col min="15874" max="15874" width="15.5703125" bestFit="1" customWidth="1"/>
    <col min="15875" max="15876" width="14" customWidth="1"/>
    <col min="15878" max="15878" width="13.28515625" customWidth="1"/>
    <col min="16129" max="16129" width="11.85546875" customWidth="1"/>
    <col min="16130" max="16130" width="15.5703125" bestFit="1" customWidth="1"/>
    <col min="16131" max="16132" width="14" customWidth="1"/>
    <col min="16134" max="16134" width="13.28515625" customWidth="1"/>
  </cols>
  <sheetData>
    <row r="1" spans="1:7" ht="30" x14ac:dyDescent="0.25">
      <c r="A1" t="s">
        <v>119</v>
      </c>
      <c r="B1" t="s">
        <v>120</v>
      </c>
      <c r="C1" s="1" t="s">
        <v>121</v>
      </c>
      <c r="D1" s="1" t="s">
        <v>122</v>
      </c>
      <c r="F1" t="s">
        <v>123</v>
      </c>
    </row>
    <row r="2" spans="1:7" x14ac:dyDescent="0.25">
      <c r="A2" t="s">
        <v>124</v>
      </c>
      <c r="B2" t="s">
        <v>125</v>
      </c>
      <c r="C2" s="29">
        <v>2</v>
      </c>
      <c r="D2">
        <f>(1+VLOOKUP(C2,$E$14:$F$24,2,0))*(VLOOKUP(B2,$A$14:$B$18,2,0)*C2)</f>
        <v>2525.4</v>
      </c>
      <c r="F2" t="s">
        <v>126</v>
      </c>
      <c r="G2">
        <f>SUMIF($B$2:$B$11,F2,$D$2:$D$11)</f>
        <v>44053.120000000003</v>
      </c>
    </row>
    <row r="3" spans="1:7" x14ac:dyDescent="0.25">
      <c r="A3" t="s">
        <v>127</v>
      </c>
      <c r="B3" t="s">
        <v>125</v>
      </c>
      <c r="C3" s="29">
        <v>3</v>
      </c>
      <c r="D3">
        <f t="shared" ref="D3:D11" si="0">(1+VLOOKUP(C3,$E$14:$F$24,2,0))*(VLOOKUP(B3,$A$14:$B$18,2,0)*C3)</f>
        <v>3967.4999999999995</v>
      </c>
      <c r="F3" t="s">
        <v>125</v>
      </c>
      <c r="G3">
        <f>SUMIF($B$2:$B$11,F3,$D$2:$D$11)</f>
        <v>12242.9</v>
      </c>
    </row>
    <row r="4" spans="1:7" x14ac:dyDescent="0.25">
      <c r="A4" t="s">
        <v>128</v>
      </c>
      <c r="B4" t="s">
        <v>126</v>
      </c>
      <c r="C4" s="29">
        <v>4</v>
      </c>
      <c r="D4">
        <f t="shared" si="0"/>
        <v>13600</v>
      </c>
      <c r="F4" t="s">
        <v>129</v>
      </c>
      <c r="G4">
        <f>SUMIF($B$2:$B$11,F4,$D$2:$D$11)</f>
        <v>7884.1</v>
      </c>
    </row>
    <row r="5" spans="1:7" x14ac:dyDescent="0.25">
      <c r="A5" t="s">
        <v>130</v>
      </c>
      <c r="B5" t="s">
        <v>126</v>
      </c>
      <c r="C5" s="29">
        <v>2</v>
      </c>
      <c r="D5">
        <f t="shared" si="0"/>
        <v>5973.1200000000008</v>
      </c>
      <c r="F5" t="s">
        <v>131</v>
      </c>
      <c r="G5">
        <f>SUMIF($B$2:$B$11,F5,$D$2:$D$11)</f>
        <v>2710.08</v>
      </c>
    </row>
    <row r="6" spans="1:7" x14ac:dyDescent="0.25">
      <c r="A6" t="s">
        <v>132</v>
      </c>
      <c r="B6" t="s">
        <v>129</v>
      </c>
      <c r="C6" s="29">
        <v>1</v>
      </c>
      <c r="D6">
        <f t="shared" si="0"/>
        <v>1024.0999999999999</v>
      </c>
      <c r="G6">
        <f>SUM(G2:G5)</f>
        <v>66890.2</v>
      </c>
    </row>
    <row r="7" spans="1:7" x14ac:dyDescent="0.25">
      <c r="A7" t="s">
        <v>133</v>
      </c>
      <c r="B7" t="s">
        <v>131</v>
      </c>
      <c r="C7" s="29">
        <v>2</v>
      </c>
      <c r="D7">
        <f t="shared" si="0"/>
        <v>1054.0800000000002</v>
      </c>
    </row>
    <row r="8" spans="1:7" x14ac:dyDescent="0.25">
      <c r="A8" t="s">
        <v>134</v>
      </c>
      <c r="B8" t="s">
        <v>131</v>
      </c>
      <c r="C8" s="29">
        <v>3</v>
      </c>
      <c r="D8">
        <f t="shared" si="0"/>
        <v>1655.9999999999998</v>
      </c>
    </row>
    <row r="9" spans="1:7" x14ac:dyDescent="0.25">
      <c r="A9" t="s">
        <v>135</v>
      </c>
      <c r="B9" t="s">
        <v>129</v>
      </c>
      <c r="C9" s="29">
        <v>5</v>
      </c>
      <c r="D9">
        <f t="shared" si="0"/>
        <v>6860</v>
      </c>
    </row>
    <row r="10" spans="1:7" x14ac:dyDescent="0.25">
      <c r="A10" t="s">
        <v>136</v>
      </c>
      <c r="B10" t="s">
        <v>125</v>
      </c>
      <c r="C10" s="29">
        <v>4</v>
      </c>
      <c r="D10">
        <f t="shared" si="0"/>
        <v>5750</v>
      </c>
    </row>
    <row r="11" spans="1:7" x14ac:dyDescent="0.25">
      <c r="A11" t="s">
        <v>137</v>
      </c>
      <c r="B11" t="s">
        <v>126</v>
      </c>
      <c r="C11" s="29">
        <v>6</v>
      </c>
      <c r="D11">
        <f t="shared" si="0"/>
        <v>24480</v>
      </c>
    </row>
    <row r="12" spans="1:7" x14ac:dyDescent="0.25">
      <c r="D12">
        <f>SUM(D2:D11)</f>
        <v>66890.200000000012</v>
      </c>
    </row>
    <row r="13" spans="1:7" x14ac:dyDescent="0.25">
      <c r="A13" t="s">
        <v>138</v>
      </c>
      <c r="E13" t="s">
        <v>139</v>
      </c>
    </row>
    <row r="14" spans="1:7" x14ac:dyDescent="0.25">
      <c r="A14" t="s">
        <v>140</v>
      </c>
      <c r="B14" t="s">
        <v>141</v>
      </c>
      <c r="E14" t="s">
        <v>142</v>
      </c>
      <c r="F14" t="s">
        <v>143</v>
      </c>
    </row>
    <row r="15" spans="1:7" x14ac:dyDescent="0.25">
      <c r="A15" t="s">
        <v>126</v>
      </c>
      <c r="B15" s="3">
        <v>2720</v>
      </c>
      <c r="E15">
        <v>1</v>
      </c>
      <c r="F15" s="30">
        <v>4.4999999999999998E-2</v>
      </c>
    </row>
    <row r="16" spans="1:7" x14ac:dyDescent="0.25">
      <c r="A16" t="s">
        <v>125</v>
      </c>
      <c r="B16" s="3">
        <v>1150</v>
      </c>
      <c r="C16" s="79"/>
      <c r="D16" s="79"/>
      <c r="E16">
        <v>2</v>
      </c>
      <c r="F16" s="30">
        <v>9.8000000000000004E-2</v>
      </c>
    </row>
    <row r="17" spans="1:6" x14ac:dyDescent="0.25">
      <c r="A17" t="s">
        <v>129</v>
      </c>
      <c r="B17" s="3">
        <v>980</v>
      </c>
      <c r="E17">
        <v>3</v>
      </c>
      <c r="F17" s="30">
        <v>0.15</v>
      </c>
    </row>
    <row r="18" spans="1:6" x14ac:dyDescent="0.25">
      <c r="A18" t="s">
        <v>131</v>
      </c>
      <c r="B18" s="3">
        <v>480</v>
      </c>
      <c r="E18">
        <v>4</v>
      </c>
      <c r="F18" s="30">
        <v>0.25</v>
      </c>
    </row>
    <row r="19" spans="1:6" x14ac:dyDescent="0.25">
      <c r="E19">
        <v>5</v>
      </c>
      <c r="F19" s="30">
        <v>0.4</v>
      </c>
    </row>
    <row r="20" spans="1:6" x14ac:dyDescent="0.25">
      <c r="E20">
        <v>6</v>
      </c>
      <c r="F20" s="30">
        <v>0.5</v>
      </c>
    </row>
    <row r="21" spans="1:6" x14ac:dyDescent="0.25">
      <c r="E21">
        <v>7</v>
      </c>
      <c r="F21" s="30">
        <v>0.72</v>
      </c>
    </row>
    <row r="22" spans="1:6" x14ac:dyDescent="0.25">
      <c r="E22">
        <v>8</v>
      </c>
      <c r="F22" s="30">
        <v>0.87</v>
      </c>
    </row>
    <row r="23" spans="1:6" x14ac:dyDescent="0.25">
      <c r="E23">
        <v>9</v>
      </c>
      <c r="F23" s="30">
        <v>0.98</v>
      </c>
    </row>
    <row r="24" spans="1:6" x14ac:dyDescent="0.25">
      <c r="E24">
        <v>10</v>
      </c>
      <c r="F24" s="30">
        <v>1.21</v>
      </c>
    </row>
    <row r="26" spans="1:6" x14ac:dyDescent="0.25">
      <c r="A26" t="s">
        <v>144</v>
      </c>
    </row>
    <row r="27" spans="1:6" x14ac:dyDescent="0.25">
      <c r="A27" t="s">
        <v>145</v>
      </c>
    </row>
    <row r="28" spans="1:6" x14ac:dyDescent="0.25">
      <c r="A28" t="s">
        <v>146</v>
      </c>
    </row>
    <row r="30" spans="1:6" x14ac:dyDescent="0.25">
      <c r="A30" t="s">
        <v>147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FF0000"/>
  </sheetPr>
  <dimension ref="A1:Q204"/>
  <sheetViews>
    <sheetView workbookViewId="0">
      <selection activeCell="L11" sqref="L11"/>
    </sheetView>
  </sheetViews>
  <sheetFormatPr defaultRowHeight="15" x14ac:dyDescent="0.25"/>
  <sheetData>
    <row r="1" spans="1:17" ht="15.75" thickBot="1" x14ac:dyDescent="0.3">
      <c r="A1" s="31"/>
      <c r="B1" s="32" t="s">
        <v>148</v>
      </c>
      <c r="C1" s="32" t="s">
        <v>149</v>
      </c>
      <c r="D1" s="32" t="s">
        <v>150</v>
      </c>
      <c r="E1" s="32" t="s">
        <v>151</v>
      </c>
      <c r="F1" s="32" t="s">
        <v>152</v>
      </c>
      <c r="G1" s="32" t="s">
        <v>153</v>
      </c>
      <c r="H1" s="32" t="s">
        <v>154</v>
      </c>
      <c r="I1" s="32" t="s">
        <v>155</v>
      </c>
      <c r="J1" s="32" t="s">
        <v>156</v>
      </c>
      <c r="K1" s="32" t="s">
        <v>157</v>
      </c>
      <c r="L1" s="32" t="s">
        <v>158</v>
      </c>
      <c r="M1" s="32" t="s">
        <v>159</v>
      </c>
    </row>
    <row r="2" spans="1:17" ht="15.75" thickBot="1" x14ac:dyDescent="0.3">
      <c r="A2" s="32" t="s">
        <v>148</v>
      </c>
      <c r="B2" s="33">
        <v>0.15</v>
      </c>
      <c r="C2" s="34">
        <v>0.5</v>
      </c>
      <c r="D2" s="34">
        <v>0.5</v>
      </c>
      <c r="E2" s="34">
        <v>0.5</v>
      </c>
      <c r="F2" s="34">
        <v>0.8</v>
      </c>
      <c r="G2" s="34">
        <v>0.5</v>
      </c>
      <c r="H2" s="34">
        <v>0.95</v>
      </c>
      <c r="I2" s="34">
        <v>0.15</v>
      </c>
      <c r="J2" s="34">
        <v>0.65</v>
      </c>
      <c r="K2" s="34">
        <v>0.65</v>
      </c>
      <c r="L2" s="34">
        <v>0.8</v>
      </c>
      <c r="M2" s="34">
        <v>0.95</v>
      </c>
      <c r="P2" s="35" t="s">
        <v>148</v>
      </c>
      <c r="Q2" s="24">
        <v>1</v>
      </c>
    </row>
    <row r="3" spans="1:17" ht="15.75" thickBot="1" x14ac:dyDescent="0.3">
      <c r="A3" s="32" t="s">
        <v>149</v>
      </c>
      <c r="B3" s="36">
        <v>0.5</v>
      </c>
      <c r="C3" s="37">
        <v>0.95</v>
      </c>
      <c r="D3" s="37">
        <v>0.5</v>
      </c>
      <c r="E3" s="37">
        <v>0.8</v>
      </c>
      <c r="F3" s="37">
        <v>0.65</v>
      </c>
      <c r="G3" s="37">
        <v>0.8</v>
      </c>
      <c r="H3" s="37">
        <v>0.65</v>
      </c>
      <c r="I3" s="37">
        <v>0.15</v>
      </c>
      <c r="J3" s="37">
        <v>0.5</v>
      </c>
      <c r="K3" s="37">
        <v>0.8</v>
      </c>
      <c r="L3" s="37">
        <v>0.5</v>
      </c>
      <c r="M3" s="37">
        <v>0.95</v>
      </c>
      <c r="P3" s="35" t="s">
        <v>149</v>
      </c>
      <c r="Q3" s="24">
        <v>2</v>
      </c>
    </row>
    <row r="4" spans="1:17" ht="15.75" thickBot="1" x14ac:dyDescent="0.3">
      <c r="A4" s="32" t="s">
        <v>150</v>
      </c>
      <c r="B4" s="36">
        <v>0.5</v>
      </c>
      <c r="C4" s="37">
        <v>0.5</v>
      </c>
      <c r="D4" s="37">
        <v>0.5</v>
      </c>
      <c r="E4" s="37">
        <v>0.15</v>
      </c>
      <c r="F4" s="37">
        <v>0.65</v>
      </c>
      <c r="G4" s="37">
        <v>0.5</v>
      </c>
      <c r="H4" s="37">
        <v>0.65</v>
      </c>
      <c r="I4" s="37">
        <v>0.8</v>
      </c>
      <c r="J4" s="37">
        <v>0.8</v>
      </c>
      <c r="K4" s="37">
        <v>0.95</v>
      </c>
      <c r="L4" s="37">
        <v>0.15</v>
      </c>
      <c r="M4" s="37">
        <v>0.8</v>
      </c>
      <c r="P4" s="35" t="s">
        <v>150</v>
      </c>
      <c r="Q4" s="24">
        <v>3</v>
      </c>
    </row>
    <row r="5" spans="1:17" ht="15.75" thickBot="1" x14ac:dyDescent="0.3">
      <c r="A5" s="32" t="s">
        <v>151</v>
      </c>
      <c r="B5" s="36">
        <v>0.5</v>
      </c>
      <c r="C5" s="37">
        <v>0.8</v>
      </c>
      <c r="D5" s="37">
        <v>0.15</v>
      </c>
      <c r="E5" s="37">
        <v>0.8</v>
      </c>
      <c r="F5" s="37">
        <v>0.65</v>
      </c>
      <c r="G5" s="37">
        <v>0.65</v>
      </c>
      <c r="H5" s="37">
        <v>0.8</v>
      </c>
      <c r="I5" s="37">
        <v>0.8</v>
      </c>
      <c r="J5" s="37">
        <v>0.65</v>
      </c>
      <c r="K5" s="37">
        <v>0.5</v>
      </c>
      <c r="L5" s="37">
        <v>0.65</v>
      </c>
      <c r="M5" s="37">
        <v>0.8</v>
      </c>
      <c r="P5" s="35" t="s">
        <v>151</v>
      </c>
      <c r="Q5" s="24">
        <v>4</v>
      </c>
    </row>
    <row r="6" spans="1:17" ht="15.75" thickBot="1" x14ac:dyDescent="0.3">
      <c r="A6" s="32" t="s">
        <v>152</v>
      </c>
      <c r="B6" s="36">
        <v>0.8</v>
      </c>
      <c r="C6" s="37">
        <v>0.65</v>
      </c>
      <c r="D6" s="37">
        <v>0.65</v>
      </c>
      <c r="E6" s="37">
        <v>0.65</v>
      </c>
      <c r="F6" s="37">
        <v>0.15</v>
      </c>
      <c r="G6" s="37">
        <v>0.15</v>
      </c>
      <c r="H6" s="37">
        <v>0.65</v>
      </c>
      <c r="I6" s="37">
        <v>0.15</v>
      </c>
      <c r="J6" s="37">
        <v>0.65</v>
      </c>
      <c r="K6" s="37">
        <v>0.8</v>
      </c>
      <c r="L6" s="37">
        <v>0.8</v>
      </c>
      <c r="M6" s="37">
        <v>0.5</v>
      </c>
      <c r="P6" s="35" t="s">
        <v>152</v>
      </c>
      <c r="Q6" s="24">
        <v>5</v>
      </c>
    </row>
    <row r="7" spans="1:17" ht="15.75" thickBot="1" x14ac:dyDescent="0.3">
      <c r="A7" s="32" t="s">
        <v>153</v>
      </c>
      <c r="B7" s="36">
        <v>0.5</v>
      </c>
      <c r="C7" s="37">
        <v>0.8</v>
      </c>
      <c r="D7" s="37">
        <v>0.5</v>
      </c>
      <c r="E7" s="37">
        <v>0.65</v>
      </c>
      <c r="F7" s="37">
        <v>0.15</v>
      </c>
      <c r="G7" s="37">
        <v>0.65</v>
      </c>
      <c r="H7" s="37">
        <v>0.65</v>
      </c>
      <c r="I7" s="37">
        <v>0.5</v>
      </c>
      <c r="J7" s="37">
        <v>0.8</v>
      </c>
      <c r="K7" s="37">
        <v>0.65</v>
      </c>
      <c r="L7" s="37">
        <v>0.5</v>
      </c>
      <c r="M7" s="37">
        <v>0.15</v>
      </c>
      <c r="P7" s="35" t="s">
        <v>153</v>
      </c>
      <c r="Q7" s="24">
        <v>6</v>
      </c>
    </row>
    <row r="8" spans="1:17" ht="15.75" thickBot="1" x14ac:dyDescent="0.3">
      <c r="A8" s="32" t="s">
        <v>154</v>
      </c>
      <c r="B8" s="36">
        <v>0.95</v>
      </c>
      <c r="C8" s="37">
        <v>0.65</v>
      </c>
      <c r="D8" s="37">
        <v>0.65</v>
      </c>
      <c r="E8" s="37">
        <v>0.8</v>
      </c>
      <c r="F8" s="37">
        <v>0.65</v>
      </c>
      <c r="G8" s="37">
        <v>0.65</v>
      </c>
      <c r="H8" s="37">
        <v>0.95</v>
      </c>
      <c r="I8" s="37">
        <v>0.15</v>
      </c>
      <c r="J8" s="37">
        <v>0.5</v>
      </c>
      <c r="K8" s="37">
        <v>0.65</v>
      </c>
      <c r="L8" s="37">
        <v>0.8</v>
      </c>
      <c r="M8" s="37">
        <v>0.8</v>
      </c>
      <c r="P8" s="35" t="s">
        <v>154</v>
      </c>
      <c r="Q8" s="24">
        <v>7</v>
      </c>
    </row>
    <row r="9" spans="1:17" ht="15.75" thickBot="1" x14ac:dyDescent="0.3">
      <c r="A9" s="32" t="s">
        <v>155</v>
      </c>
      <c r="B9" s="36">
        <v>0.15</v>
      </c>
      <c r="C9" s="37">
        <v>0.15</v>
      </c>
      <c r="D9" s="37">
        <v>0.8</v>
      </c>
      <c r="E9" s="37">
        <v>0.8</v>
      </c>
      <c r="F9" s="37">
        <v>0.15</v>
      </c>
      <c r="G9" s="37">
        <v>0.5</v>
      </c>
      <c r="H9" s="37">
        <v>0.15</v>
      </c>
      <c r="I9" s="37">
        <v>0.15</v>
      </c>
      <c r="J9" s="37">
        <v>0.5</v>
      </c>
      <c r="K9" s="37">
        <v>0.95</v>
      </c>
      <c r="L9" s="37">
        <v>0.65</v>
      </c>
      <c r="M9" s="37">
        <v>0.65</v>
      </c>
      <c r="P9" s="35" t="s">
        <v>155</v>
      </c>
      <c r="Q9" s="24">
        <v>8</v>
      </c>
    </row>
    <row r="10" spans="1:17" ht="15.75" thickBot="1" x14ac:dyDescent="0.3">
      <c r="A10" s="32" t="s">
        <v>156</v>
      </c>
      <c r="B10" s="36">
        <v>0.65</v>
      </c>
      <c r="C10" s="37">
        <v>0.5</v>
      </c>
      <c r="D10" s="37">
        <v>0.8</v>
      </c>
      <c r="E10" s="37">
        <v>0.65</v>
      </c>
      <c r="F10" s="37">
        <v>0.65</v>
      </c>
      <c r="G10" s="37">
        <v>0.8</v>
      </c>
      <c r="H10" s="37">
        <v>0.5</v>
      </c>
      <c r="I10" s="37">
        <v>0.5</v>
      </c>
      <c r="J10" s="37">
        <v>0.95</v>
      </c>
      <c r="K10" s="37">
        <v>0.8</v>
      </c>
      <c r="L10" s="37">
        <v>0.8</v>
      </c>
      <c r="M10" s="37">
        <v>0.8</v>
      </c>
      <c r="P10" s="35" t="s">
        <v>156</v>
      </c>
      <c r="Q10" s="24">
        <v>9</v>
      </c>
    </row>
    <row r="11" spans="1:17" ht="15.75" thickBot="1" x14ac:dyDescent="0.3">
      <c r="A11" s="32" t="s">
        <v>157</v>
      </c>
      <c r="B11" s="36">
        <v>0.65</v>
      </c>
      <c r="C11" s="37">
        <v>0.8</v>
      </c>
      <c r="D11" s="37">
        <v>0.95</v>
      </c>
      <c r="E11" s="37">
        <v>0.5</v>
      </c>
      <c r="F11" s="37">
        <v>0.8</v>
      </c>
      <c r="G11" s="37">
        <v>0.65</v>
      </c>
      <c r="H11" s="37">
        <v>0.65</v>
      </c>
      <c r="I11" s="37">
        <v>0.95</v>
      </c>
      <c r="J11" s="37">
        <v>0.8</v>
      </c>
      <c r="K11" s="37">
        <v>0.95</v>
      </c>
      <c r="L11" s="37">
        <v>0.65</v>
      </c>
      <c r="M11" s="37">
        <v>0.8</v>
      </c>
      <c r="P11" s="35" t="s">
        <v>157</v>
      </c>
      <c r="Q11" s="24">
        <v>10</v>
      </c>
    </row>
    <row r="12" spans="1:17" ht="15.75" thickBot="1" x14ac:dyDescent="0.3">
      <c r="A12" s="32" t="s">
        <v>158</v>
      </c>
      <c r="B12" s="36">
        <v>0.8</v>
      </c>
      <c r="C12" s="37">
        <v>0.5</v>
      </c>
      <c r="D12" s="37">
        <v>0.15</v>
      </c>
      <c r="E12" s="37">
        <v>0.65</v>
      </c>
      <c r="F12" s="37">
        <v>0.8</v>
      </c>
      <c r="G12" s="37">
        <v>0.5</v>
      </c>
      <c r="H12" s="37">
        <v>0.8</v>
      </c>
      <c r="I12" s="37">
        <v>0.65</v>
      </c>
      <c r="J12" s="37">
        <v>0.8</v>
      </c>
      <c r="K12" s="37">
        <v>0.65</v>
      </c>
      <c r="L12" s="37">
        <v>0.95</v>
      </c>
      <c r="M12" s="37">
        <v>0.8</v>
      </c>
      <c r="P12" s="35" t="s">
        <v>158</v>
      </c>
      <c r="Q12" s="24">
        <v>11</v>
      </c>
    </row>
    <row r="13" spans="1:17" ht="15.75" thickBot="1" x14ac:dyDescent="0.3">
      <c r="A13" s="32" t="s">
        <v>159</v>
      </c>
      <c r="B13" s="36">
        <v>0.95</v>
      </c>
      <c r="C13" s="37">
        <v>0.95</v>
      </c>
      <c r="D13" s="37">
        <v>0.8</v>
      </c>
      <c r="E13" s="37">
        <v>0.8</v>
      </c>
      <c r="F13" s="37">
        <v>0.5</v>
      </c>
      <c r="G13" s="37">
        <v>0.15</v>
      </c>
      <c r="H13" s="37">
        <v>0.8</v>
      </c>
      <c r="I13" s="37">
        <v>0.65</v>
      </c>
      <c r="J13" s="37">
        <v>0.8</v>
      </c>
      <c r="K13" s="37">
        <v>0.8</v>
      </c>
      <c r="L13" s="37">
        <v>0.8</v>
      </c>
      <c r="M13" s="37">
        <v>0.8</v>
      </c>
      <c r="P13" s="35" t="s">
        <v>159</v>
      </c>
      <c r="Q13" s="24">
        <v>12</v>
      </c>
    </row>
    <row r="15" spans="1:17" x14ac:dyDescent="0.25">
      <c r="A15" s="38" t="s">
        <v>160</v>
      </c>
      <c r="B15" t="s">
        <v>158</v>
      </c>
    </row>
    <row r="16" spans="1:17" x14ac:dyDescent="0.25">
      <c r="A16" s="38" t="s">
        <v>161</v>
      </c>
      <c r="B16" t="s">
        <v>157</v>
      </c>
    </row>
    <row r="17" spans="1:3" x14ac:dyDescent="0.25">
      <c r="A17" s="38" t="s">
        <v>162</v>
      </c>
      <c r="B17" s="30">
        <f>VLOOKUP(B15,A1:M13,MATCH(B16,A1:M1,0),0)</f>
        <v>0.65</v>
      </c>
    </row>
    <row r="19" spans="1:3" x14ac:dyDescent="0.25">
      <c r="A19" t="s">
        <v>163</v>
      </c>
    </row>
    <row r="21" spans="1:3" x14ac:dyDescent="0.25">
      <c r="C21" t="s">
        <v>164</v>
      </c>
    </row>
    <row r="204" spans="4:4" x14ac:dyDescent="0.25">
      <c r="D204" s="30">
        <f>HLOOKUP(B15,A1:M13,VLOOKUP(B16,P2:Q13,2,0)+1,0)</f>
        <v>0.65</v>
      </c>
    </row>
  </sheetData>
  <dataValidations count="2">
    <dataValidation type="list" allowBlank="1" showInputMessage="1" showErrorMessage="1" errorTitle="Erro de entrada" error="Signo inválido." sqref="B15" xr:uid="{94C8D27C-568A-4BDF-A022-ECEB02C6F40C}">
      <formula1>$A$2:$A$13</formula1>
    </dataValidation>
    <dataValidation type="list" allowBlank="1" showInputMessage="1" showErrorMessage="1" errorTitle="Erro de entrada" error="Signo inválido." sqref="B16" xr:uid="{BD6DD6FE-CC75-4480-8172-8F32A5E998F8}">
      <formula1>$B$1:$M$1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00B050"/>
  </sheetPr>
  <dimension ref="A2:E24"/>
  <sheetViews>
    <sheetView workbookViewId="0">
      <selection activeCell="C11" sqref="C11"/>
    </sheetView>
  </sheetViews>
  <sheetFormatPr defaultColWidth="25.140625" defaultRowHeight="15" x14ac:dyDescent="0.25"/>
  <sheetData>
    <row r="2" spans="1:5" x14ac:dyDescent="0.25">
      <c r="A2" t="s">
        <v>165</v>
      </c>
      <c r="B2" t="s">
        <v>173</v>
      </c>
    </row>
    <row r="3" spans="1:5" x14ac:dyDescent="0.25">
      <c r="A3" t="s">
        <v>167</v>
      </c>
      <c r="B3" s="3">
        <v>2500</v>
      </c>
      <c r="D3" s="39"/>
    </row>
    <row r="4" spans="1:5" x14ac:dyDescent="0.25">
      <c r="A4" t="s">
        <v>168</v>
      </c>
      <c r="B4">
        <v>5</v>
      </c>
    </row>
    <row r="5" spans="1:5" x14ac:dyDescent="0.25">
      <c r="A5" t="s">
        <v>169</v>
      </c>
      <c r="B5" s="40">
        <f>(IF(VLOOKUP($B$4,$A$8:$E$17,MATCH($B$2,$A$8:$E$8,0),0)=0,"Não fazemos este material",VLOOKUP($B$4,$A$8:$E$17,MATCH($B$2,$A$8:$E$8,0),0)+1)*B3)-B3</f>
        <v>190</v>
      </c>
      <c r="C5" s="79"/>
    </row>
    <row r="8" spans="1:5" x14ac:dyDescent="0.25">
      <c r="A8" s="41" t="s">
        <v>170</v>
      </c>
      <c r="B8" s="42" t="s">
        <v>166</v>
      </c>
      <c r="C8" s="42" t="s">
        <v>171</v>
      </c>
      <c r="D8" s="42" t="s">
        <v>172</v>
      </c>
      <c r="E8" s="42" t="s">
        <v>173</v>
      </c>
    </row>
    <row r="9" spans="1:5" x14ac:dyDescent="0.25">
      <c r="A9" s="24">
        <v>1</v>
      </c>
      <c r="B9" s="43">
        <v>0.03</v>
      </c>
      <c r="C9" s="44">
        <v>0.02</v>
      </c>
      <c r="D9" s="44">
        <v>0.01</v>
      </c>
      <c r="E9" s="44">
        <v>7.0000000000000007E-2</v>
      </c>
    </row>
    <row r="10" spans="1:5" x14ac:dyDescent="0.25">
      <c r="A10" s="24">
        <v>2</v>
      </c>
      <c r="B10" s="43">
        <f>B9+0.3%</f>
        <v>3.3000000000000002E-2</v>
      </c>
      <c r="C10" s="44">
        <f>C9+0.2%</f>
        <v>2.1999999999999999E-2</v>
      </c>
      <c r="D10" s="44">
        <f>D9+0.2%</f>
        <v>1.2E-2</v>
      </c>
      <c r="E10" s="44">
        <f>E9+0.2%</f>
        <v>7.2000000000000008E-2</v>
      </c>
    </row>
    <row r="11" spans="1:5" x14ac:dyDescent="0.25">
      <c r="A11" s="24">
        <v>3</v>
      </c>
      <c r="B11" s="43">
        <f>B10+0.3%</f>
        <v>3.6000000000000004E-2</v>
      </c>
      <c r="C11" s="44">
        <f t="shared" ref="C11:D17" si="0">C10+0.2%</f>
        <v>2.4E-2</v>
      </c>
      <c r="D11" s="44">
        <v>0</v>
      </c>
      <c r="E11" s="44">
        <f t="shared" ref="E11:E17" si="1">E10+0.2%</f>
        <v>7.400000000000001E-2</v>
      </c>
    </row>
    <row r="12" spans="1:5" x14ac:dyDescent="0.25">
      <c r="A12" s="24">
        <v>5</v>
      </c>
      <c r="B12" s="43">
        <f t="shared" ref="B12:B17" si="2">B11+0.3%</f>
        <v>3.9000000000000007E-2</v>
      </c>
      <c r="C12" s="44">
        <f t="shared" si="0"/>
        <v>2.6000000000000002E-2</v>
      </c>
      <c r="D12" s="44">
        <v>1.6E-2</v>
      </c>
      <c r="E12" s="44">
        <f t="shared" si="1"/>
        <v>7.6000000000000012E-2</v>
      </c>
    </row>
    <row r="13" spans="1:5" x14ac:dyDescent="0.25">
      <c r="A13" s="24">
        <v>6</v>
      </c>
      <c r="B13" s="43">
        <f t="shared" si="2"/>
        <v>4.200000000000001E-2</v>
      </c>
      <c r="C13" s="44">
        <f t="shared" si="0"/>
        <v>2.8000000000000004E-2</v>
      </c>
      <c r="D13" s="44">
        <f t="shared" si="0"/>
        <v>1.8000000000000002E-2</v>
      </c>
      <c r="E13" s="44">
        <f t="shared" si="1"/>
        <v>7.8000000000000014E-2</v>
      </c>
    </row>
    <row r="14" spans="1:5" x14ac:dyDescent="0.25">
      <c r="A14" s="24">
        <v>7</v>
      </c>
      <c r="B14" s="43">
        <f t="shared" si="2"/>
        <v>4.5000000000000012E-2</v>
      </c>
      <c r="C14" s="44">
        <f t="shared" si="0"/>
        <v>3.0000000000000006E-2</v>
      </c>
      <c r="D14" s="44">
        <v>0</v>
      </c>
      <c r="E14" s="44">
        <f t="shared" si="1"/>
        <v>8.0000000000000016E-2</v>
      </c>
    </row>
    <row r="15" spans="1:5" x14ac:dyDescent="0.25">
      <c r="A15" s="24">
        <v>8</v>
      </c>
      <c r="B15" s="43">
        <f t="shared" si="2"/>
        <v>4.8000000000000015E-2</v>
      </c>
      <c r="C15" s="44">
        <f t="shared" si="0"/>
        <v>3.2000000000000008E-2</v>
      </c>
      <c r="D15" s="44">
        <v>0</v>
      </c>
      <c r="E15" s="44">
        <f t="shared" si="1"/>
        <v>8.2000000000000017E-2</v>
      </c>
    </row>
    <row r="16" spans="1:5" x14ac:dyDescent="0.25">
      <c r="A16" s="24">
        <v>9</v>
      </c>
      <c r="B16" s="43">
        <f t="shared" si="2"/>
        <v>5.1000000000000018E-2</v>
      </c>
      <c r="C16" s="44">
        <f t="shared" si="0"/>
        <v>3.4000000000000009E-2</v>
      </c>
      <c r="D16" s="44">
        <v>2.4E-2</v>
      </c>
      <c r="E16" s="44">
        <f t="shared" si="1"/>
        <v>8.4000000000000019E-2</v>
      </c>
    </row>
    <row r="17" spans="1:5" x14ac:dyDescent="0.25">
      <c r="A17" s="24">
        <v>10</v>
      </c>
      <c r="B17" s="43">
        <f t="shared" si="2"/>
        <v>5.400000000000002E-2</v>
      </c>
      <c r="C17" s="44">
        <f t="shared" si="0"/>
        <v>3.6000000000000011E-2</v>
      </c>
      <c r="D17" s="44">
        <f t="shared" si="0"/>
        <v>2.6000000000000002E-2</v>
      </c>
      <c r="E17" s="44">
        <f t="shared" si="1"/>
        <v>8.6000000000000021E-2</v>
      </c>
    </row>
    <row r="19" spans="1:5" x14ac:dyDescent="0.25">
      <c r="A19" t="s">
        <v>174</v>
      </c>
    </row>
    <row r="20" spans="1:5" x14ac:dyDescent="0.25">
      <c r="A20" t="s">
        <v>175</v>
      </c>
    </row>
    <row r="21" spans="1:5" x14ac:dyDescent="0.25">
      <c r="A21" t="s">
        <v>176</v>
      </c>
    </row>
    <row r="22" spans="1:5" x14ac:dyDescent="0.25">
      <c r="A22" s="27" t="s">
        <v>177</v>
      </c>
    </row>
    <row r="23" spans="1:5" x14ac:dyDescent="0.25">
      <c r="A23" t="s">
        <v>178</v>
      </c>
    </row>
    <row r="24" spans="1:5" x14ac:dyDescent="0.25">
      <c r="A24" t="s">
        <v>179</v>
      </c>
    </row>
  </sheetData>
  <dataValidations count="2">
    <dataValidation type="list" allowBlank="1" showInputMessage="1" showErrorMessage="1" errorTitle="Erro de entrada" error="Material inválido." sqref="B2" xr:uid="{A1649F2E-DEC3-44C3-9287-53779711E09D}">
      <formula1>$B$8:$E$8</formula1>
    </dataValidation>
    <dataValidation type="list" allowBlank="1" showInputMessage="1" showErrorMessage="1" errorTitle="Erro de entrada" error="Código inválido." sqref="B4" xr:uid="{5CDEF355-0AAC-4336-BD9F-54DE21EDA789}">
      <formula1>$A$9:$A$17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00B050"/>
  </sheetPr>
  <dimension ref="A1:J23"/>
  <sheetViews>
    <sheetView topLeftCell="A4" workbookViewId="0">
      <selection activeCell="I19" sqref="I19"/>
    </sheetView>
  </sheetViews>
  <sheetFormatPr defaultRowHeight="15" x14ac:dyDescent="0.25"/>
  <cols>
    <col min="4" max="4" width="11.140625" bestFit="1" customWidth="1"/>
    <col min="6" max="6" width="11.140625" bestFit="1" customWidth="1"/>
    <col min="8" max="8" width="12.7109375" bestFit="1" customWidth="1"/>
    <col min="10" max="10" width="12" bestFit="1" customWidth="1"/>
  </cols>
  <sheetData>
    <row r="1" spans="1:8" ht="60" x14ac:dyDescent="0.25">
      <c r="A1" s="24" t="s">
        <v>180</v>
      </c>
      <c r="B1" s="45" t="s">
        <v>181</v>
      </c>
      <c r="C1" s="45" t="s">
        <v>182</v>
      </c>
      <c r="D1" s="24" t="s">
        <v>183</v>
      </c>
      <c r="E1" s="45" t="s">
        <v>184</v>
      </c>
      <c r="F1" s="45" t="s">
        <v>185</v>
      </c>
    </row>
    <row r="2" spans="1:8" x14ac:dyDescent="0.25">
      <c r="A2" s="24" t="s">
        <v>186</v>
      </c>
      <c r="B2" s="24">
        <v>5000</v>
      </c>
      <c r="C2" s="24" t="s">
        <v>187</v>
      </c>
      <c r="D2" s="46">
        <f>VLOOKUP(C2,$A$14:$B$18,2,0)*B2</f>
        <v>750</v>
      </c>
      <c r="E2" s="24" t="s">
        <v>188</v>
      </c>
      <c r="F2" s="46">
        <f>(1+VLOOKUP(E2,$D$14:$E$18,2,0))*D2</f>
        <v>712.5</v>
      </c>
    </row>
    <row r="3" spans="1:8" x14ac:dyDescent="0.25">
      <c r="A3" s="24" t="s">
        <v>189</v>
      </c>
      <c r="B3" s="24">
        <v>5100</v>
      </c>
      <c r="C3" s="24" t="s">
        <v>190</v>
      </c>
      <c r="D3" s="46">
        <f t="shared" ref="D3:D11" si="0">VLOOKUP(C3,$A$14:$B$18,2,0)*B3</f>
        <v>663</v>
      </c>
      <c r="E3" s="24" t="s">
        <v>191</v>
      </c>
      <c r="F3" s="46">
        <f>(1+VLOOKUP(E3,$D$14:$E$18,2,0))*D3</f>
        <v>663</v>
      </c>
    </row>
    <row r="4" spans="1:8" x14ac:dyDescent="0.25">
      <c r="A4" s="24" t="s">
        <v>192</v>
      </c>
      <c r="B4" s="24">
        <v>5200</v>
      </c>
      <c r="C4" s="24" t="s">
        <v>190</v>
      </c>
      <c r="D4" s="46">
        <f t="shared" si="0"/>
        <v>676</v>
      </c>
      <c r="E4" s="24" t="s">
        <v>193</v>
      </c>
      <c r="F4" s="46">
        <f t="shared" ref="F4:F11" si="1">(1+VLOOKUP(E4,$D$14:$E$18,2,0))*D4</f>
        <v>709.80000000000007</v>
      </c>
    </row>
    <row r="5" spans="1:8" x14ac:dyDescent="0.25">
      <c r="A5" s="24" t="s">
        <v>194</v>
      </c>
      <c r="B5" s="24">
        <v>5300</v>
      </c>
      <c r="C5" s="24" t="s">
        <v>195</v>
      </c>
      <c r="D5" s="46">
        <f t="shared" si="0"/>
        <v>636</v>
      </c>
      <c r="E5" s="24" t="s">
        <v>196</v>
      </c>
      <c r="F5" s="46">
        <f t="shared" si="1"/>
        <v>699.6</v>
      </c>
    </row>
    <row r="6" spans="1:8" x14ac:dyDescent="0.25">
      <c r="A6" s="24" t="s">
        <v>197</v>
      </c>
      <c r="B6" s="24">
        <v>5400</v>
      </c>
      <c r="C6" s="24" t="s">
        <v>198</v>
      </c>
      <c r="D6" s="46">
        <f t="shared" si="0"/>
        <v>594</v>
      </c>
      <c r="E6" s="24" t="s">
        <v>188</v>
      </c>
      <c r="F6" s="46">
        <f t="shared" si="1"/>
        <v>564.29999999999995</v>
      </c>
    </row>
    <row r="7" spans="1:8" x14ac:dyDescent="0.25">
      <c r="A7" s="24" t="s">
        <v>199</v>
      </c>
      <c r="B7" s="24">
        <v>5500</v>
      </c>
      <c r="C7" s="24" t="s">
        <v>200</v>
      </c>
      <c r="D7" s="46">
        <f t="shared" si="0"/>
        <v>495</v>
      </c>
      <c r="E7" s="24" t="s">
        <v>193</v>
      </c>
      <c r="F7" s="46">
        <f t="shared" si="1"/>
        <v>519.75</v>
      </c>
    </row>
    <row r="8" spans="1:8" x14ac:dyDescent="0.25">
      <c r="A8" s="24" t="s">
        <v>201</v>
      </c>
      <c r="B8" s="24">
        <v>5600</v>
      </c>
      <c r="C8" s="24" t="s">
        <v>187</v>
      </c>
      <c r="D8" s="46">
        <f t="shared" si="0"/>
        <v>840</v>
      </c>
      <c r="E8" s="24" t="s">
        <v>202</v>
      </c>
      <c r="F8" s="46">
        <f t="shared" si="1"/>
        <v>974.4</v>
      </c>
    </row>
    <row r="9" spans="1:8" x14ac:dyDescent="0.25">
      <c r="A9" s="24" t="s">
        <v>203</v>
      </c>
      <c r="B9" s="24">
        <v>5700</v>
      </c>
      <c r="C9" s="24" t="s">
        <v>190</v>
      </c>
      <c r="D9" s="46">
        <f t="shared" si="0"/>
        <v>741</v>
      </c>
      <c r="E9" s="24" t="s">
        <v>191</v>
      </c>
      <c r="F9" s="46">
        <f t="shared" si="1"/>
        <v>741</v>
      </c>
    </row>
    <row r="10" spans="1:8" x14ac:dyDescent="0.25">
      <c r="A10" s="24" t="s">
        <v>204</v>
      </c>
      <c r="B10" s="24">
        <v>5800</v>
      </c>
      <c r="C10" s="24" t="s">
        <v>200</v>
      </c>
      <c r="D10" s="46">
        <f t="shared" si="0"/>
        <v>522</v>
      </c>
      <c r="E10" s="24" t="s">
        <v>193</v>
      </c>
      <c r="F10" s="46">
        <f t="shared" si="1"/>
        <v>548.1</v>
      </c>
    </row>
    <row r="11" spans="1:8" x14ac:dyDescent="0.25">
      <c r="A11" s="24" t="s">
        <v>205</v>
      </c>
      <c r="B11" s="24">
        <v>5900</v>
      </c>
      <c r="C11" s="24" t="s">
        <v>198</v>
      </c>
      <c r="D11" s="46">
        <f t="shared" si="0"/>
        <v>649</v>
      </c>
      <c r="E11" s="24" t="s">
        <v>191</v>
      </c>
      <c r="F11" s="46">
        <f t="shared" si="1"/>
        <v>649</v>
      </c>
      <c r="G11" t="s">
        <v>404</v>
      </c>
      <c r="H11" s="39">
        <f>SUM(F2:F11)</f>
        <v>6781.45</v>
      </c>
    </row>
    <row r="13" spans="1:8" x14ac:dyDescent="0.25">
      <c r="A13" s="24" t="s">
        <v>206</v>
      </c>
      <c r="B13" s="24"/>
      <c r="D13" s="24" t="s">
        <v>207</v>
      </c>
      <c r="E13" s="24"/>
      <c r="G13" s="24" t="s">
        <v>208</v>
      </c>
      <c r="H13" s="24"/>
    </row>
    <row r="14" spans="1:8" x14ac:dyDescent="0.25">
      <c r="A14" s="47" t="s">
        <v>187</v>
      </c>
      <c r="B14" s="48">
        <v>0.15</v>
      </c>
      <c r="D14" s="24" t="s">
        <v>188</v>
      </c>
      <c r="E14" s="25">
        <v>-0.05</v>
      </c>
      <c r="G14" s="24" t="s">
        <v>188</v>
      </c>
      <c r="H14" s="46">
        <f>SUMIF($E$2:$E$11,G14,$F$2:$F$11)</f>
        <v>1276.8</v>
      </c>
    </row>
    <row r="15" spans="1:8" x14ac:dyDescent="0.25">
      <c r="A15" s="47" t="s">
        <v>190</v>
      </c>
      <c r="B15" s="48">
        <v>0.13</v>
      </c>
      <c r="D15" s="24" t="s">
        <v>191</v>
      </c>
      <c r="E15" s="25">
        <v>0</v>
      </c>
      <c r="G15" s="24" t="s">
        <v>191</v>
      </c>
      <c r="H15" s="46">
        <f t="shared" ref="H15:H18" si="2">SUMIF($E$2:$E$11,G15,$F$2:$F$11)</f>
        <v>2053</v>
      </c>
    </row>
    <row r="16" spans="1:8" x14ac:dyDescent="0.25">
      <c r="A16" s="47" t="s">
        <v>195</v>
      </c>
      <c r="B16" s="48">
        <v>0.12</v>
      </c>
      <c r="D16" s="24" t="s">
        <v>193</v>
      </c>
      <c r="E16" s="25">
        <v>0.05</v>
      </c>
      <c r="G16" s="24" t="s">
        <v>193</v>
      </c>
      <c r="H16" s="46">
        <f t="shared" si="2"/>
        <v>1777.65</v>
      </c>
    </row>
    <row r="17" spans="1:10" x14ac:dyDescent="0.25">
      <c r="A17" s="47" t="s">
        <v>198</v>
      </c>
      <c r="B17" s="48">
        <v>0.11</v>
      </c>
      <c r="D17" s="24" t="s">
        <v>196</v>
      </c>
      <c r="E17" s="25">
        <v>0.1</v>
      </c>
      <c r="G17" s="24" t="s">
        <v>196</v>
      </c>
      <c r="H17" s="46">
        <f t="shared" si="2"/>
        <v>699.6</v>
      </c>
    </row>
    <row r="18" spans="1:10" x14ac:dyDescent="0.25">
      <c r="A18" s="47" t="s">
        <v>200</v>
      </c>
      <c r="B18" s="48">
        <v>0.09</v>
      </c>
      <c r="D18" s="24" t="s">
        <v>202</v>
      </c>
      <c r="E18" s="25">
        <v>0.16</v>
      </c>
      <c r="G18" s="24" t="s">
        <v>202</v>
      </c>
      <c r="H18" s="46">
        <f t="shared" si="2"/>
        <v>974.4</v>
      </c>
      <c r="I18" t="s">
        <v>404</v>
      </c>
      <c r="J18" s="39">
        <f>SUM(H14:H18)</f>
        <v>6781.4500000000007</v>
      </c>
    </row>
    <row r="20" spans="1:10" x14ac:dyDescent="0.25">
      <c r="A20" s="49" t="s">
        <v>209</v>
      </c>
      <c r="B20" s="49"/>
      <c r="C20" s="49"/>
      <c r="D20" s="49"/>
      <c r="E20" s="49"/>
      <c r="F20" s="49"/>
    </row>
    <row r="21" spans="1:10" x14ac:dyDescent="0.25">
      <c r="A21" s="50" t="s">
        <v>183</v>
      </c>
      <c r="B21" t="s">
        <v>210</v>
      </c>
    </row>
    <row r="22" spans="1:10" x14ac:dyDescent="0.25">
      <c r="A22" s="27" t="s">
        <v>211</v>
      </c>
      <c r="B22" t="s">
        <v>212</v>
      </c>
    </row>
    <row r="23" spans="1:10" x14ac:dyDescent="0.25">
      <c r="A23" t="s">
        <v>213</v>
      </c>
      <c r="B23" t="s">
        <v>214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00B050"/>
  </sheetPr>
  <dimension ref="A1:K29"/>
  <sheetViews>
    <sheetView workbookViewId="0">
      <selection activeCell="K11" sqref="K11"/>
    </sheetView>
  </sheetViews>
  <sheetFormatPr defaultRowHeight="15" x14ac:dyDescent="0.25"/>
  <cols>
    <col min="2" max="2" width="11" bestFit="1" customWidth="1"/>
    <col min="4" max="4" width="10.28515625" bestFit="1" customWidth="1"/>
    <col min="5" max="5" width="12.7109375" customWidth="1"/>
    <col min="7" max="7" width="12.140625" bestFit="1" customWidth="1"/>
    <col min="8" max="8" width="12.42578125" bestFit="1" customWidth="1"/>
  </cols>
  <sheetData>
    <row r="1" spans="1:11" ht="30" x14ac:dyDescent="0.25">
      <c r="A1" s="51" t="s">
        <v>216</v>
      </c>
      <c r="B1" s="52" t="s">
        <v>217</v>
      </c>
      <c r="C1" s="51" t="s">
        <v>57</v>
      </c>
      <c r="D1" s="51" t="s">
        <v>218</v>
      </c>
      <c r="E1" s="52" t="s">
        <v>219</v>
      </c>
      <c r="F1" s="52" t="s">
        <v>183</v>
      </c>
      <c r="G1" s="51" t="s">
        <v>220</v>
      </c>
      <c r="I1" s="91" t="s">
        <v>221</v>
      </c>
      <c r="J1" s="91"/>
      <c r="K1" s="91"/>
    </row>
    <row r="2" spans="1:11" x14ac:dyDescent="0.25">
      <c r="A2" s="24" t="s">
        <v>186</v>
      </c>
      <c r="B2" s="24">
        <v>1</v>
      </c>
      <c r="C2" s="24" t="s">
        <v>222</v>
      </c>
      <c r="D2" s="24" t="s">
        <v>223</v>
      </c>
      <c r="E2" s="24">
        <v>2000</v>
      </c>
      <c r="F2" s="24">
        <f>IF(ISNUMBER(VLOOKUP(B2,$A$14:$B$23,2,0)),VLOOKUP(B2,$A$14:$B$23,2,0)*E2+VLOOKUP(C2,$F$14:$G$16,2,0),0)</f>
        <v>25150</v>
      </c>
      <c r="G2" s="24">
        <f>F2*(1+IF(AND(D2="Vinho",C2="Itu"),-10%,IF(AND(D2="Cerveja",C2="São Paulo"),-5%,IF(AND(D2="Pinga",C2="São João"),-7.5%,0))))</f>
        <v>22635</v>
      </c>
      <c r="I2" s="24" t="s">
        <v>223</v>
      </c>
      <c r="J2" s="24" t="s">
        <v>222</v>
      </c>
      <c r="K2" s="24">
        <f>SUMIFS($G$2:$G$11,$D$2:$D$11,"Vinho",$C$2:$C$11,"Itu")</f>
        <v>141961.5</v>
      </c>
    </row>
    <row r="3" spans="1:11" x14ac:dyDescent="0.25">
      <c r="A3" s="24" t="s">
        <v>189</v>
      </c>
      <c r="B3" s="24">
        <v>2</v>
      </c>
      <c r="C3" s="24" t="s">
        <v>222</v>
      </c>
      <c r="D3" s="24" t="s">
        <v>223</v>
      </c>
      <c r="E3" s="24">
        <v>300</v>
      </c>
      <c r="F3" s="24">
        <f t="shared" ref="F3:F11" si="0">IF(ISNUMBER(VLOOKUP(B3,$A$14:$B$23,2,0)),VLOOKUP(B3,$A$14:$B$23,2,0)*E3+VLOOKUP(C3,$F$14:$G$16,2,0),0)</f>
        <v>2835</v>
      </c>
      <c r="G3" s="24">
        <f t="shared" ref="G3:G11" si="1">F3*(1+IF(AND(D3="Vinho",C3="Itu"),-10%,IF(AND(D3="Cerveja",C3="São Paulo"),-5%,IF(AND(D3="Pinga",C3="São João"),-7.5%,0))))</f>
        <v>2551.5</v>
      </c>
      <c r="I3" s="24" t="s">
        <v>223</v>
      </c>
      <c r="J3" s="24" t="s">
        <v>224</v>
      </c>
      <c r="K3" s="24">
        <f>SUMIFS($G$2:$G$11,$D$2:$D$11,"Vinho",$C$2:$C$11,"São João")</f>
        <v>0</v>
      </c>
    </row>
    <row r="4" spans="1:11" x14ac:dyDescent="0.25">
      <c r="A4" s="24" t="s">
        <v>192</v>
      </c>
      <c r="B4" s="24">
        <v>4</v>
      </c>
      <c r="C4" s="24" t="s">
        <v>224</v>
      </c>
      <c r="D4" s="24" t="s">
        <v>225</v>
      </c>
      <c r="E4" s="24">
        <v>200</v>
      </c>
      <c r="F4" s="24">
        <f t="shared" si="0"/>
        <v>0</v>
      </c>
      <c r="G4" s="24">
        <f t="shared" si="1"/>
        <v>0</v>
      </c>
      <c r="I4" s="24" t="s">
        <v>223</v>
      </c>
      <c r="J4" s="24" t="s">
        <v>226</v>
      </c>
      <c r="K4" s="24">
        <f>SUMIFS($G$2:$G$11,$D$2:$D$11,"Vinho",$C$2:$C$11,"São Paulo")</f>
        <v>21756</v>
      </c>
    </row>
    <row r="5" spans="1:11" x14ac:dyDescent="0.25">
      <c r="A5" s="24" t="s">
        <v>194</v>
      </c>
      <c r="B5" s="24">
        <v>5</v>
      </c>
      <c r="C5" s="24" t="s">
        <v>226</v>
      </c>
      <c r="D5" s="24" t="s">
        <v>225</v>
      </c>
      <c r="E5" s="24">
        <v>180</v>
      </c>
      <c r="F5" s="24">
        <f t="shared" si="0"/>
        <v>2010</v>
      </c>
      <c r="G5" s="24">
        <f t="shared" si="1"/>
        <v>1909.5</v>
      </c>
      <c r="I5" s="24" t="s">
        <v>227</v>
      </c>
      <c r="J5" s="24" t="s">
        <v>222</v>
      </c>
      <c r="K5" s="24">
        <f>SUMIFS($G$2:$G$11,$D$2:$D$11,"Pinga",$C$2:$C$11,"Itu")</f>
        <v>0</v>
      </c>
    </row>
    <row r="6" spans="1:11" x14ac:dyDescent="0.25">
      <c r="A6" s="24" t="s">
        <v>197</v>
      </c>
      <c r="B6" s="24">
        <v>2</v>
      </c>
      <c r="C6" s="24" t="s">
        <v>224</v>
      </c>
      <c r="D6" s="24" t="s">
        <v>225</v>
      </c>
      <c r="E6" s="24">
        <v>2800</v>
      </c>
      <c r="F6" s="24">
        <f t="shared" si="0"/>
        <v>25379.999999999996</v>
      </c>
      <c r="G6" s="24">
        <f t="shared" si="1"/>
        <v>25379.999999999996</v>
      </c>
      <c r="I6" s="24" t="s">
        <v>227</v>
      </c>
      <c r="J6" s="24" t="s">
        <v>224</v>
      </c>
      <c r="K6" s="24">
        <f>SUMIFS($G$2:$G$11,$D$2:$D$11,"Pinga",$C$2:$C$11,"São João")</f>
        <v>0</v>
      </c>
    </row>
    <row r="7" spans="1:11" x14ac:dyDescent="0.25">
      <c r="A7" s="24" t="s">
        <v>199</v>
      </c>
      <c r="B7" s="24">
        <v>7</v>
      </c>
      <c r="C7" s="24" t="s">
        <v>222</v>
      </c>
      <c r="D7" s="24" t="s">
        <v>223</v>
      </c>
      <c r="E7" s="24">
        <v>2400</v>
      </c>
      <c r="F7" s="24">
        <f t="shared" si="0"/>
        <v>129750</v>
      </c>
      <c r="G7" s="24">
        <f t="shared" si="1"/>
        <v>116775</v>
      </c>
      <c r="I7" s="24" t="s">
        <v>227</v>
      </c>
      <c r="J7" s="24" t="s">
        <v>226</v>
      </c>
      <c r="K7" s="24">
        <f>SUMIFS($G$2:$G$11,$D$2:$D$11,"Pinga",$C$2:$C$11,"São Paulo")</f>
        <v>37010</v>
      </c>
    </row>
    <row r="8" spans="1:11" x14ac:dyDescent="0.25">
      <c r="A8" s="24" t="s">
        <v>201</v>
      </c>
      <c r="B8" s="24">
        <v>8</v>
      </c>
      <c r="C8" s="24" t="s">
        <v>226</v>
      </c>
      <c r="D8" s="24" t="s">
        <v>227</v>
      </c>
      <c r="E8" s="24">
        <v>1600</v>
      </c>
      <c r="F8" s="24">
        <f t="shared" si="0"/>
        <v>37010</v>
      </c>
      <c r="G8" s="24">
        <f t="shared" si="1"/>
        <v>37010</v>
      </c>
      <c r="I8" s="24" t="s">
        <v>225</v>
      </c>
      <c r="J8" s="24" t="s">
        <v>222</v>
      </c>
      <c r="K8" s="24">
        <f>SUMIFS($G$2:$G$11,$D$2:$D$11,"Cerveja",$C$2:$C$11,"Itu")</f>
        <v>0</v>
      </c>
    </row>
    <row r="9" spans="1:11" x14ac:dyDescent="0.25">
      <c r="A9" s="24" t="s">
        <v>203</v>
      </c>
      <c r="B9" s="24">
        <v>4</v>
      </c>
      <c r="C9" s="24" t="s">
        <v>226</v>
      </c>
      <c r="D9" s="24" t="s">
        <v>227</v>
      </c>
      <c r="E9" s="24">
        <v>3890</v>
      </c>
      <c r="F9" s="24">
        <f t="shared" si="0"/>
        <v>0</v>
      </c>
      <c r="G9" s="24">
        <f t="shared" si="1"/>
        <v>0</v>
      </c>
      <c r="I9" s="24" t="s">
        <v>225</v>
      </c>
      <c r="J9" s="24" t="s">
        <v>224</v>
      </c>
      <c r="K9" s="24">
        <f>SUMIFS($G$2:$G$11,$D$2:$D$11,"Cerveja",$C$2:$C$11,"São João")</f>
        <v>54700</v>
      </c>
    </row>
    <row r="10" spans="1:11" x14ac:dyDescent="0.25">
      <c r="A10" s="24" t="s">
        <v>204</v>
      </c>
      <c r="B10" s="24">
        <v>5</v>
      </c>
      <c r="C10" s="24" t="s">
        <v>224</v>
      </c>
      <c r="D10" s="24" t="s">
        <v>225</v>
      </c>
      <c r="E10" s="24">
        <v>2900</v>
      </c>
      <c r="F10" s="24">
        <f t="shared" si="0"/>
        <v>29320</v>
      </c>
      <c r="G10" s="24">
        <f t="shared" si="1"/>
        <v>29320</v>
      </c>
      <c r="I10" s="24" t="s">
        <v>225</v>
      </c>
      <c r="J10" s="24" t="s">
        <v>226</v>
      </c>
      <c r="K10" s="24">
        <f>SUMIFS($G$2:$G$11,$D$2:$D$11,"Cerveja",$C$2:$C$11,"São Paulo")</f>
        <v>1909.5</v>
      </c>
    </row>
    <row r="11" spans="1:11" x14ac:dyDescent="0.25">
      <c r="A11" s="24" t="s">
        <v>205</v>
      </c>
      <c r="B11" s="24">
        <v>3</v>
      </c>
      <c r="C11" s="24" t="s">
        <v>226</v>
      </c>
      <c r="D11" s="24" t="s">
        <v>223</v>
      </c>
      <c r="E11" s="24">
        <v>2700</v>
      </c>
      <c r="F11" s="24">
        <f t="shared" si="0"/>
        <v>21756</v>
      </c>
      <c r="G11" s="24">
        <f t="shared" si="1"/>
        <v>21756</v>
      </c>
      <c r="K11" s="81">
        <f>SUM(K2:K10)</f>
        <v>257337</v>
      </c>
    </row>
    <row r="12" spans="1:11" x14ac:dyDescent="0.25">
      <c r="G12" s="80">
        <f>SUM(G2:G11)</f>
        <v>257337</v>
      </c>
    </row>
    <row r="13" spans="1:11" x14ac:dyDescent="0.25">
      <c r="A13" t="s">
        <v>228</v>
      </c>
      <c r="F13" t="s">
        <v>229</v>
      </c>
    </row>
    <row r="14" spans="1:11" x14ac:dyDescent="0.25">
      <c r="A14" t="s">
        <v>230</v>
      </c>
      <c r="B14" t="s">
        <v>60</v>
      </c>
      <c r="F14" t="s">
        <v>222</v>
      </c>
      <c r="G14">
        <v>150</v>
      </c>
    </row>
    <row r="15" spans="1:11" x14ac:dyDescent="0.25">
      <c r="A15">
        <v>1</v>
      </c>
      <c r="B15" s="3">
        <v>12.5</v>
      </c>
      <c r="F15" t="s">
        <v>224</v>
      </c>
      <c r="G15">
        <v>320</v>
      </c>
    </row>
    <row r="16" spans="1:11" x14ac:dyDescent="0.25">
      <c r="A16">
        <v>2</v>
      </c>
      <c r="B16" s="3">
        <v>8.9499999999999993</v>
      </c>
      <c r="F16" t="s">
        <v>226</v>
      </c>
      <c r="G16">
        <v>210</v>
      </c>
    </row>
    <row r="17" spans="1:3" x14ac:dyDescent="0.25">
      <c r="A17">
        <v>3</v>
      </c>
      <c r="B17" s="3">
        <v>7.98</v>
      </c>
      <c r="C17" t="s">
        <v>405</v>
      </c>
    </row>
    <row r="18" spans="1:3" x14ac:dyDescent="0.25">
      <c r="A18">
        <v>5</v>
      </c>
      <c r="B18" s="3">
        <v>10</v>
      </c>
    </row>
    <row r="19" spans="1:3" x14ac:dyDescent="0.25">
      <c r="A19">
        <v>6</v>
      </c>
      <c r="B19" s="3">
        <v>23</v>
      </c>
    </row>
    <row r="20" spans="1:3" x14ac:dyDescent="0.25">
      <c r="A20">
        <v>7</v>
      </c>
      <c r="B20" s="3">
        <v>54</v>
      </c>
    </row>
    <row r="21" spans="1:3" x14ac:dyDescent="0.25">
      <c r="A21">
        <v>8</v>
      </c>
      <c r="B21" s="3">
        <v>23</v>
      </c>
    </row>
    <row r="22" spans="1:3" x14ac:dyDescent="0.25">
      <c r="A22">
        <v>9</v>
      </c>
      <c r="B22" s="3">
        <v>13</v>
      </c>
    </row>
    <row r="23" spans="1:3" x14ac:dyDescent="0.25">
      <c r="A23">
        <v>10</v>
      </c>
      <c r="B23" s="3">
        <v>9.8000000000000007</v>
      </c>
    </row>
    <row r="25" spans="1:3" x14ac:dyDescent="0.25">
      <c r="A25" t="s">
        <v>112</v>
      </c>
    </row>
    <row r="26" spans="1:3" x14ac:dyDescent="0.25">
      <c r="A26" s="53" t="s">
        <v>231</v>
      </c>
    </row>
    <row r="27" spans="1:3" x14ac:dyDescent="0.25">
      <c r="A27" s="53" t="s">
        <v>232</v>
      </c>
    </row>
    <row r="29" spans="1:3" x14ac:dyDescent="0.25">
      <c r="A29" s="53" t="s">
        <v>233</v>
      </c>
    </row>
  </sheetData>
  <mergeCells count="1">
    <mergeCell ref="I1:K1"/>
  </mergeCells>
  <dataValidations count="4">
    <dataValidation type="list" allowBlank="1" showInputMessage="1" showErrorMessage="1" errorTitle="Erro de entrada" error="Código inválido." sqref="B2" xr:uid="{456C2B2E-7889-4647-908A-87A56274D2BB}">
      <formula1>$A$15:$A$23</formula1>
    </dataValidation>
    <dataValidation type="list" allowBlank="1" showInputMessage="1" showErrorMessage="1" errorTitle="Erro de entrada" error="Código inválido._x000a_" sqref="B3:B11" xr:uid="{796D82FD-AADC-41E4-A1B4-D1F07F4D1CEA}">
      <formula1>$A$15:$A$23</formula1>
    </dataValidation>
    <dataValidation type="list" allowBlank="1" showInputMessage="1" showErrorMessage="1" errorTitle="Erro de entrada" error="Cidade inválida." sqref="C2:C11" xr:uid="{E04507A9-BD1F-47FD-9702-0EE0245B3859}">
      <formula1>$F$14:$F$16</formula1>
    </dataValidation>
    <dataValidation type="list" allowBlank="1" showInputMessage="1" showErrorMessage="1" errorTitle="Erro de entrada" error="Classificação inválida." sqref="D2:D11" xr:uid="{300034F7-78CF-4818-B5AB-CFF70FB0E03E}">
      <formula1>"Vinho,Pinga,Cerveja"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I23"/>
  <sheetViews>
    <sheetView topLeftCell="A2" workbookViewId="0">
      <selection activeCell="C21" sqref="C21"/>
    </sheetView>
  </sheetViews>
  <sheetFormatPr defaultRowHeight="15" x14ac:dyDescent="0.25"/>
  <cols>
    <col min="1" max="1" width="14.85546875" customWidth="1"/>
    <col min="2" max="5" width="11" customWidth="1"/>
  </cols>
  <sheetData>
    <row r="1" spans="1:9" x14ac:dyDescent="0.25">
      <c r="A1" t="s">
        <v>234</v>
      </c>
    </row>
    <row r="2" spans="1:9" x14ac:dyDescent="0.25">
      <c r="A2" s="92" t="s">
        <v>235</v>
      </c>
      <c r="B2" s="92"/>
      <c r="C2" s="92"/>
      <c r="D2" s="92"/>
      <c r="E2" s="92"/>
      <c r="G2" t="s">
        <v>406</v>
      </c>
      <c r="H2" t="str">
        <f>INDEX(A4:A13,MATCH(LARGE(B4:B13,1),B4:B13,0))</f>
        <v>Fred</v>
      </c>
      <c r="I2" t="s">
        <v>407</v>
      </c>
    </row>
    <row r="3" spans="1:9" x14ac:dyDescent="0.25">
      <c r="A3" s="54" t="s">
        <v>17</v>
      </c>
      <c r="B3" s="54" t="s">
        <v>236</v>
      </c>
      <c r="C3" s="54" t="s">
        <v>237</v>
      </c>
      <c r="D3" s="54" t="s">
        <v>238</v>
      </c>
      <c r="E3" s="54" t="s">
        <v>239</v>
      </c>
      <c r="G3" s="95" t="s">
        <v>408</v>
      </c>
      <c r="H3" t="str">
        <f>INDEX(A4:A13,MATCH(LARGE(B4:B13,2),B4:B13,0))</f>
        <v>Paulo</v>
      </c>
      <c r="I3" s="96" t="s">
        <v>419</v>
      </c>
    </row>
    <row r="4" spans="1:9" x14ac:dyDescent="0.25">
      <c r="A4" s="24" t="s">
        <v>24</v>
      </c>
      <c r="B4" s="24">
        <v>357</v>
      </c>
      <c r="C4" s="24">
        <v>95</v>
      </c>
      <c r="D4" s="24">
        <v>356</v>
      </c>
      <c r="E4" s="24">
        <v>258</v>
      </c>
      <c r="G4" t="s">
        <v>409</v>
      </c>
      <c r="H4" t="str">
        <f>INDEX(A4:A13,MATCH(LARGE(B4:B13,3),B4:B13,0))</f>
        <v>Peterson</v>
      </c>
      <c r="I4" t="s">
        <v>420</v>
      </c>
    </row>
    <row r="5" spans="1:9" x14ac:dyDescent="0.25">
      <c r="A5" s="24" t="s">
        <v>22</v>
      </c>
      <c r="B5" s="24">
        <v>159</v>
      </c>
      <c r="C5" s="24">
        <v>125</v>
      </c>
      <c r="D5" s="24">
        <v>354</v>
      </c>
      <c r="E5" s="24">
        <v>369</v>
      </c>
      <c r="G5" t="s">
        <v>410</v>
      </c>
      <c r="H5" t="str">
        <f>INDEX(A4:A13,MATCH(LARGE(C4:C13,1),C4:C13,0))</f>
        <v>Fred</v>
      </c>
      <c r="I5" t="s">
        <v>421</v>
      </c>
    </row>
    <row r="6" spans="1:9" x14ac:dyDescent="0.25">
      <c r="A6" s="24" t="s">
        <v>240</v>
      </c>
      <c r="B6" s="24">
        <v>862</v>
      </c>
      <c r="C6" s="24">
        <v>154</v>
      </c>
      <c r="D6" s="24">
        <v>257</v>
      </c>
      <c r="E6" s="24">
        <v>258</v>
      </c>
      <c r="G6" t="s">
        <v>411</v>
      </c>
      <c r="H6" t="str">
        <f>INDEX(A4:A13,MATCH(LARGE(C4:C13,2),C4:C13,0))</f>
        <v>Caio</v>
      </c>
      <c r="I6" t="s">
        <v>423</v>
      </c>
    </row>
    <row r="7" spans="1:9" x14ac:dyDescent="0.25">
      <c r="A7" s="24" t="s">
        <v>25</v>
      </c>
      <c r="B7" s="24">
        <v>157</v>
      </c>
      <c r="C7" s="24">
        <v>145</v>
      </c>
      <c r="D7" s="24">
        <v>548</v>
      </c>
      <c r="E7" s="24">
        <v>147</v>
      </c>
      <c r="G7" t="s">
        <v>412</v>
      </c>
      <c r="H7" t="str">
        <f>INDEX(A4:A13,(1+MATCH(LARGE(C4:C13,3),C4:C13,0)))</f>
        <v>Marcelo</v>
      </c>
      <c r="I7" t="s">
        <v>422</v>
      </c>
    </row>
    <row r="8" spans="1:9" x14ac:dyDescent="0.25">
      <c r="A8" s="24" t="s">
        <v>241</v>
      </c>
      <c r="B8" s="24">
        <v>486</v>
      </c>
      <c r="C8" s="24">
        <v>652</v>
      </c>
      <c r="D8" s="24">
        <v>658</v>
      </c>
      <c r="E8" s="24">
        <v>123</v>
      </c>
      <c r="G8" t="s">
        <v>413</v>
      </c>
      <c r="H8" t="str">
        <f>INDEX(A4:A13,MATCH(LARGE(D4:D13,1),D4:D13,0))</f>
        <v>Fred</v>
      </c>
      <c r="I8" t="s">
        <v>424</v>
      </c>
    </row>
    <row r="9" spans="1:9" x14ac:dyDescent="0.25">
      <c r="A9" s="24" t="s">
        <v>242</v>
      </c>
      <c r="B9" s="24">
        <v>957</v>
      </c>
      <c r="C9" s="24">
        <v>985</v>
      </c>
      <c r="D9" s="24">
        <v>695</v>
      </c>
      <c r="E9" s="24">
        <v>456</v>
      </c>
      <c r="G9" t="s">
        <v>414</v>
      </c>
      <c r="H9" t="str">
        <f>INDEX(A4:A13,MATCH(LARGE(D4:D13,2),D4:D13,0))</f>
        <v>Anderson</v>
      </c>
      <c r="I9" t="s">
        <v>426</v>
      </c>
    </row>
    <row r="10" spans="1:9" x14ac:dyDescent="0.25">
      <c r="A10" s="24" t="s">
        <v>243</v>
      </c>
      <c r="B10" s="24">
        <v>351</v>
      </c>
      <c r="C10" s="24">
        <v>485</v>
      </c>
      <c r="D10" s="24">
        <v>452</v>
      </c>
      <c r="E10" s="24">
        <v>789</v>
      </c>
      <c r="G10" t="s">
        <v>415</v>
      </c>
      <c r="H10" t="str">
        <f>INDEX(A4:A13,MATCH(LARGE(D4:D13,3),D4:D13,0))</f>
        <v>Manuel</v>
      </c>
      <c r="I10" t="s">
        <v>425</v>
      </c>
    </row>
    <row r="11" spans="1:9" x14ac:dyDescent="0.25">
      <c r="A11" s="24" t="s">
        <v>244</v>
      </c>
      <c r="B11" s="24">
        <v>256</v>
      </c>
      <c r="C11" s="24">
        <v>658</v>
      </c>
      <c r="D11" s="24">
        <v>356</v>
      </c>
      <c r="E11" s="24">
        <v>654</v>
      </c>
      <c r="G11" t="s">
        <v>416</v>
      </c>
      <c r="H11" t="str">
        <f>INDEX(A4:A13,MATCH(LARGE(E4:E13,1),E4:E13,0))</f>
        <v>Peterson</v>
      </c>
      <c r="I11" t="s">
        <v>427</v>
      </c>
    </row>
    <row r="12" spans="1:9" x14ac:dyDescent="0.25">
      <c r="A12" s="24" t="s">
        <v>245</v>
      </c>
      <c r="B12" s="24">
        <v>254</v>
      </c>
      <c r="C12" s="24">
        <v>658</v>
      </c>
      <c r="D12" s="24">
        <v>245</v>
      </c>
      <c r="E12" s="24">
        <v>321</v>
      </c>
      <c r="G12" t="s">
        <v>417</v>
      </c>
      <c r="H12" t="str">
        <f>INDEX(A4:A13,MATCH(LARGE(E4:E13,2),E4:E13,0))</f>
        <v>Matheus</v>
      </c>
      <c r="I12" t="s">
        <v>428</v>
      </c>
    </row>
    <row r="13" spans="1:9" x14ac:dyDescent="0.25">
      <c r="A13" s="24" t="s">
        <v>246</v>
      </c>
      <c r="B13" s="24">
        <v>654</v>
      </c>
      <c r="C13" s="24">
        <v>596</v>
      </c>
      <c r="D13" s="24">
        <v>254</v>
      </c>
      <c r="E13" s="24">
        <v>987</v>
      </c>
      <c r="G13" t="s">
        <v>418</v>
      </c>
      <c r="H13" t="str">
        <f>INDEX(A4:A13,MATCH(LARGE(E4:E13,3),E4:E13,0))</f>
        <v>Caio</v>
      </c>
      <c r="I13" t="s">
        <v>429</v>
      </c>
    </row>
    <row r="14" spans="1:9" x14ac:dyDescent="0.25">
      <c r="A14" s="94" t="s">
        <v>404</v>
      </c>
      <c r="B14">
        <f>SUM(B4:B13)</f>
        <v>4493</v>
      </c>
      <c r="C14">
        <f>SUM(C4:C13,B16,(B18*16))</f>
        <v>5206</v>
      </c>
      <c r="D14">
        <f>SUM(D4:D13,C16,(C18*16))</f>
        <v>4261</v>
      </c>
      <c r="E14">
        <f>SUM(E4:E13,D16,(D18*16))</f>
        <v>4783</v>
      </c>
    </row>
    <row r="15" spans="1:9" x14ac:dyDescent="0.25">
      <c r="A15" t="s">
        <v>247</v>
      </c>
      <c r="B15">
        <f>INT(B14/16)</f>
        <v>280</v>
      </c>
      <c r="C15">
        <f>INT(C14/16)</f>
        <v>325</v>
      </c>
      <c r="D15">
        <f>INT(D14/16)</f>
        <v>266</v>
      </c>
      <c r="E15">
        <f>INT(E14/16)</f>
        <v>298</v>
      </c>
      <c r="G15" t="s">
        <v>248</v>
      </c>
    </row>
    <row r="16" spans="1:9" x14ac:dyDescent="0.25">
      <c r="A16" t="s">
        <v>249</v>
      </c>
      <c r="B16">
        <f>MOD(B14,16)</f>
        <v>13</v>
      </c>
      <c r="C16">
        <f>MOD(C14,16)</f>
        <v>6</v>
      </c>
      <c r="D16">
        <f>MOD(D14,16)</f>
        <v>5</v>
      </c>
      <c r="E16">
        <f>MOD(E14,16)</f>
        <v>15</v>
      </c>
      <c r="G16" t="s">
        <v>250</v>
      </c>
    </row>
    <row r="17" spans="1:7" x14ac:dyDescent="0.25">
      <c r="A17" t="s">
        <v>251</v>
      </c>
      <c r="B17">
        <f>INT(B15/80)</f>
        <v>3</v>
      </c>
      <c r="C17">
        <f>INT(C15/80)</f>
        <v>4</v>
      </c>
      <c r="D17">
        <f>INT(D15/80)</f>
        <v>3</v>
      </c>
      <c r="E17">
        <f>INT(E15/80)</f>
        <v>3</v>
      </c>
      <c r="G17" s="53" t="s">
        <v>252</v>
      </c>
    </row>
    <row r="18" spans="1:7" x14ac:dyDescent="0.25">
      <c r="A18" t="s">
        <v>253</v>
      </c>
      <c r="B18">
        <f>MOD(B15,80)</f>
        <v>40</v>
      </c>
      <c r="C18">
        <f>MOD(C15,80)</f>
        <v>5</v>
      </c>
      <c r="D18">
        <f>MOD(D15,80)</f>
        <v>26</v>
      </c>
      <c r="E18">
        <f>MOD(E15,80)</f>
        <v>58</v>
      </c>
      <c r="G18" t="s">
        <v>254</v>
      </c>
    </row>
    <row r="20" spans="1:7" x14ac:dyDescent="0.25">
      <c r="A20" s="93" t="s">
        <v>255</v>
      </c>
      <c r="B20" s="93"/>
      <c r="C20" s="93"/>
      <c r="D20" s="93"/>
      <c r="E20" s="93"/>
    </row>
    <row r="21" spans="1:7" x14ac:dyDescent="0.25">
      <c r="A21" t="s">
        <v>256</v>
      </c>
      <c r="B21" t="str">
        <f>INDEX(A4:A13,MATCH(LARGE(B4:B13,1),B4:B13,0))</f>
        <v>Fred</v>
      </c>
    </row>
    <row r="22" spans="1:7" x14ac:dyDescent="0.25">
      <c r="A22" t="s">
        <v>30</v>
      </c>
      <c r="B22" t="str">
        <f>INDEX(A4:A13,MATCH(LARGE(B4:B13,2),B4:B13,0))</f>
        <v>Paulo</v>
      </c>
    </row>
    <row r="23" spans="1:7" x14ac:dyDescent="0.25">
      <c r="A23" t="s">
        <v>31</v>
      </c>
      <c r="B23" t="str">
        <f>INDEX(A4:A13,MATCH(LARGE(B4:B13,3),B4:B13,0))</f>
        <v>Peterson</v>
      </c>
    </row>
  </sheetData>
  <mergeCells count="2">
    <mergeCell ref="A2:E2"/>
    <mergeCell ref="A20:E20"/>
  </mergeCells>
  <phoneticPr fontId="2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Mcr_GeraBotao">
                <anchor moveWithCells="1" sizeWithCells="1">
                  <from>
                    <xdr:col>6</xdr:col>
                    <xdr:colOff>533400</xdr:colOff>
                    <xdr:row>20</xdr:row>
                    <xdr:rowOff>0</xdr:rowOff>
                  </from>
                  <to>
                    <xdr:col>9</xdr:col>
                    <xdr:colOff>57150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Mcr_Janeiro">
                <anchor moveWithCells="1" sizeWithCells="1">
                  <from>
                    <xdr:col>9</xdr:col>
                    <xdr:colOff>333375</xdr:colOff>
                    <xdr:row>20</xdr:row>
                    <xdr:rowOff>19050</xdr:rowOff>
                  </from>
                  <to>
                    <xdr:col>11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>
                <anchor moveWithCells="1" sizeWithCells="1">
                  <from>
                    <xdr:col>12</xdr:col>
                    <xdr:colOff>19050</xdr:colOff>
                    <xdr:row>20</xdr:row>
                    <xdr:rowOff>9525</xdr:rowOff>
                  </from>
                  <to>
                    <xdr:col>14</xdr:col>
                    <xdr:colOff>9525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>
                <anchor moveWithCells="1" sizeWithCells="1">
                  <from>
                    <xdr:col>14</xdr:col>
                    <xdr:colOff>266700</xdr:colOff>
                    <xdr:row>20</xdr:row>
                    <xdr:rowOff>0</xdr:rowOff>
                  </from>
                  <to>
                    <xdr:col>16</xdr:col>
                    <xdr:colOff>257175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Button 18">
              <controlPr defaultSize="0" print="0" autoFill="0" autoPict="0">
                <anchor moveWithCells="1" sizeWithCells="1">
                  <from>
                    <xdr:col>16</xdr:col>
                    <xdr:colOff>581025</xdr:colOff>
                    <xdr:row>20</xdr:row>
                    <xdr:rowOff>0</xdr:rowOff>
                  </from>
                  <to>
                    <xdr:col>18</xdr:col>
                    <xdr:colOff>571500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Button 19">
              <controlPr defaultSize="0" print="0" autoFill="0" autoPict="0" macro="[0]!Mcr_LimparClassif">
                <anchor moveWithCells="1" sizeWithCells="1">
                  <from>
                    <xdr:col>10</xdr:col>
                    <xdr:colOff>571500</xdr:colOff>
                    <xdr:row>23</xdr:row>
                    <xdr:rowOff>47625</xdr:rowOff>
                  </from>
                  <to>
                    <xdr:col>12</xdr:col>
                    <xdr:colOff>561975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00B050"/>
  </sheetPr>
  <dimension ref="A1:G26"/>
  <sheetViews>
    <sheetView workbookViewId="0">
      <selection activeCell="B4" sqref="B4"/>
    </sheetView>
  </sheetViews>
  <sheetFormatPr defaultRowHeight="15" x14ac:dyDescent="0.25"/>
  <cols>
    <col min="1" max="1" width="18.7109375" bestFit="1" customWidth="1"/>
    <col min="6" max="6" width="11.28515625" bestFit="1" customWidth="1"/>
  </cols>
  <sheetData>
    <row r="1" spans="1:7" x14ac:dyDescent="0.25">
      <c r="A1" t="s">
        <v>83</v>
      </c>
      <c r="B1" t="s">
        <v>257</v>
      </c>
      <c r="F1" t="s">
        <v>258</v>
      </c>
    </row>
    <row r="2" spans="1:7" x14ac:dyDescent="0.25">
      <c r="A2" t="s">
        <v>259</v>
      </c>
      <c r="B2" t="s">
        <v>260</v>
      </c>
      <c r="F2" t="s">
        <v>261</v>
      </c>
    </row>
    <row r="3" spans="1:7" x14ac:dyDescent="0.25">
      <c r="A3" t="s">
        <v>1</v>
      </c>
      <c r="B3">
        <v>30</v>
      </c>
    </row>
    <row r="4" spans="1:7" x14ac:dyDescent="0.25">
      <c r="A4" t="s">
        <v>60</v>
      </c>
      <c r="B4" s="53">
        <f>(1+IF(VLOOKUP(B1,A11:B26,2,0)*VLOOKUP(B2,F11:G18,2,0)*B3&gt;1000,-1.5%,0))*VLOOKUP(B1,A11:B26,2,0)*VLOOKUP(B2,F11:G18,2,0)*B3</f>
        <v>1563.7860000000001</v>
      </c>
      <c r="F4" t="s">
        <v>262</v>
      </c>
    </row>
    <row r="11" spans="1:7" x14ac:dyDescent="0.25">
      <c r="A11" t="s">
        <v>83</v>
      </c>
      <c r="B11" t="s">
        <v>263</v>
      </c>
      <c r="F11" t="s">
        <v>264</v>
      </c>
      <c r="G11" t="s">
        <v>263</v>
      </c>
    </row>
    <row r="12" spans="1:7" x14ac:dyDescent="0.25">
      <c r="A12" t="s">
        <v>265</v>
      </c>
      <c r="B12">
        <v>12</v>
      </c>
      <c r="F12" t="s">
        <v>260</v>
      </c>
      <c r="G12">
        <v>0.54</v>
      </c>
    </row>
    <row r="13" spans="1:7" x14ac:dyDescent="0.25">
      <c r="A13" t="s">
        <v>266</v>
      </c>
      <c r="B13">
        <v>23</v>
      </c>
      <c r="F13" t="s">
        <v>267</v>
      </c>
      <c r="G13">
        <v>0.21</v>
      </c>
    </row>
    <row r="14" spans="1:7" x14ac:dyDescent="0.25">
      <c r="A14" t="s">
        <v>268</v>
      </c>
      <c r="B14">
        <v>34</v>
      </c>
      <c r="F14" t="s">
        <v>269</v>
      </c>
      <c r="G14">
        <v>0.21</v>
      </c>
    </row>
    <row r="15" spans="1:7" x14ac:dyDescent="0.25">
      <c r="A15" t="s">
        <v>270</v>
      </c>
      <c r="B15">
        <v>45</v>
      </c>
      <c r="F15" t="s">
        <v>271</v>
      </c>
      <c r="G15">
        <v>0.22</v>
      </c>
    </row>
    <row r="16" spans="1:7" x14ac:dyDescent="0.25">
      <c r="A16" t="s">
        <v>272</v>
      </c>
      <c r="B16">
        <v>56</v>
      </c>
      <c r="F16" t="s">
        <v>273</v>
      </c>
      <c r="G16">
        <v>0.17</v>
      </c>
    </row>
    <row r="17" spans="1:7" x14ac:dyDescent="0.25">
      <c r="A17" t="s">
        <v>274</v>
      </c>
      <c r="B17">
        <v>67</v>
      </c>
      <c r="F17" t="s">
        <v>275</v>
      </c>
      <c r="G17">
        <v>0.43</v>
      </c>
    </row>
    <row r="18" spans="1:7" x14ac:dyDescent="0.25">
      <c r="A18" t="s">
        <v>276</v>
      </c>
      <c r="B18">
        <v>78</v>
      </c>
      <c r="F18" t="s">
        <v>277</v>
      </c>
      <c r="G18">
        <v>0.39</v>
      </c>
    </row>
    <row r="19" spans="1:7" x14ac:dyDescent="0.25">
      <c r="A19" t="s">
        <v>278</v>
      </c>
      <c r="B19">
        <v>89</v>
      </c>
    </row>
    <row r="20" spans="1:7" x14ac:dyDescent="0.25">
      <c r="A20" t="s">
        <v>279</v>
      </c>
      <c r="B20">
        <v>90</v>
      </c>
    </row>
    <row r="21" spans="1:7" x14ac:dyDescent="0.25">
      <c r="A21" t="s">
        <v>257</v>
      </c>
      <c r="B21">
        <v>98</v>
      </c>
    </row>
    <row r="22" spans="1:7" x14ac:dyDescent="0.25">
      <c r="A22" t="s">
        <v>280</v>
      </c>
      <c r="B22">
        <v>87</v>
      </c>
    </row>
    <row r="23" spans="1:7" x14ac:dyDescent="0.25">
      <c r="A23" t="s">
        <v>281</v>
      </c>
      <c r="B23">
        <v>76</v>
      </c>
    </row>
    <row r="24" spans="1:7" x14ac:dyDescent="0.25">
      <c r="A24" t="s">
        <v>282</v>
      </c>
      <c r="B24">
        <v>65</v>
      </c>
    </row>
    <row r="25" spans="1:7" x14ac:dyDescent="0.25">
      <c r="A25" t="s">
        <v>283</v>
      </c>
      <c r="B25">
        <v>54</v>
      </c>
    </row>
    <row r="26" spans="1:7" x14ac:dyDescent="0.25">
      <c r="A26" t="s">
        <v>284</v>
      </c>
      <c r="B26">
        <v>43</v>
      </c>
    </row>
  </sheetData>
  <dataValidations count="2">
    <dataValidation type="list" allowBlank="1" showInputMessage="1" showErrorMessage="1" errorTitle="Erro de entrada" error="Produto inválido." sqref="B1" xr:uid="{E811A9BD-69BA-48C3-A611-CA7DC251D289}">
      <formula1>$A$12:$A$26</formula1>
    </dataValidation>
    <dataValidation type="list" allowBlank="1" showInputMessage="1" showErrorMessage="1" errorTitle="Erro de entrada" error="Embalagem inválida." sqref="B2" xr:uid="{B3A5F50C-0CBA-4877-8B4C-2AD70D1DB08D}">
      <formula1>$F$12:$F$18</formula1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>
    <tabColor rgb="FF00B050"/>
  </sheetPr>
  <dimension ref="A1:L30"/>
  <sheetViews>
    <sheetView workbookViewId="0">
      <selection activeCell="F2" sqref="F2"/>
    </sheetView>
  </sheetViews>
  <sheetFormatPr defaultRowHeight="15" x14ac:dyDescent="0.25"/>
  <cols>
    <col min="2" max="2" width="11.85546875" customWidth="1"/>
    <col min="3" max="3" width="18.5703125" customWidth="1"/>
    <col min="4" max="4" width="14.5703125" bestFit="1" customWidth="1"/>
    <col min="5" max="5" width="15.28515625" bestFit="1" customWidth="1"/>
    <col min="6" max="6" width="13.28515625" bestFit="1" customWidth="1"/>
    <col min="7" max="7" width="13.5703125" customWidth="1"/>
    <col min="8" max="8" width="15" customWidth="1"/>
    <col min="9" max="9" width="27.42578125" customWidth="1"/>
    <col min="10" max="11" width="14.85546875" bestFit="1" customWidth="1"/>
    <col min="12" max="12" width="23.28515625" bestFit="1" customWidth="1"/>
  </cols>
  <sheetData>
    <row r="1" spans="1:12" ht="40.5" customHeight="1" x14ac:dyDescent="0.25">
      <c r="A1" t="s">
        <v>285</v>
      </c>
      <c r="B1" t="s">
        <v>1</v>
      </c>
      <c r="C1" t="s">
        <v>57</v>
      </c>
      <c r="D1" t="s">
        <v>286</v>
      </c>
      <c r="E1" t="s">
        <v>287</v>
      </c>
      <c r="F1" t="s">
        <v>288</v>
      </c>
      <c r="G1" t="s">
        <v>289</v>
      </c>
      <c r="H1" t="s">
        <v>169</v>
      </c>
      <c r="I1" s="1" t="s">
        <v>290</v>
      </c>
      <c r="J1" s="1" t="s">
        <v>291</v>
      </c>
      <c r="K1" s="1" t="s">
        <v>292</v>
      </c>
      <c r="L1" s="1" t="s">
        <v>293</v>
      </c>
    </row>
    <row r="2" spans="1:12" ht="31.5" x14ac:dyDescent="0.5">
      <c r="A2" t="s">
        <v>294</v>
      </c>
      <c r="B2">
        <v>1200</v>
      </c>
      <c r="C2" t="s">
        <v>295</v>
      </c>
      <c r="D2" s="55">
        <v>42465</v>
      </c>
      <c r="E2" t="s">
        <v>296</v>
      </c>
      <c r="F2" s="69"/>
      <c r="G2">
        <v>0.3</v>
      </c>
      <c r="H2" s="71"/>
      <c r="I2" s="3">
        <v>0.22</v>
      </c>
      <c r="J2" s="72"/>
      <c r="K2" s="72"/>
      <c r="L2" s="72"/>
    </row>
    <row r="3" spans="1:12" ht="31.5" x14ac:dyDescent="0.5">
      <c r="A3" t="s">
        <v>297</v>
      </c>
      <c r="B3">
        <v>5000</v>
      </c>
      <c r="C3" t="s">
        <v>298</v>
      </c>
      <c r="D3" s="55">
        <v>42466</v>
      </c>
      <c r="E3" t="s">
        <v>296</v>
      </c>
      <c r="F3" s="69"/>
      <c r="G3">
        <v>0.4</v>
      </c>
      <c r="H3" s="71"/>
      <c r="I3" s="3">
        <v>0.32</v>
      </c>
      <c r="J3" s="72"/>
      <c r="K3" s="72"/>
      <c r="L3" s="72"/>
    </row>
    <row r="4" spans="1:12" ht="31.5" x14ac:dyDescent="0.5">
      <c r="A4" t="s">
        <v>299</v>
      </c>
      <c r="B4">
        <v>444</v>
      </c>
      <c r="C4" t="s">
        <v>298</v>
      </c>
      <c r="D4" s="55">
        <v>42467</v>
      </c>
      <c r="E4" t="s">
        <v>300</v>
      </c>
      <c r="F4" s="69"/>
      <c r="G4">
        <v>0.4</v>
      </c>
      <c r="H4" s="71"/>
      <c r="I4" s="3">
        <v>0.33</v>
      </c>
      <c r="J4" s="72"/>
      <c r="K4" s="72"/>
      <c r="L4" s="72"/>
    </row>
    <row r="5" spans="1:12" ht="31.5" x14ac:dyDescent="0.5">
      <c r="A5" t="s">
        <v>301</v>
      </c>
      <c r="B5">
        <v>555</v>
      </c>
      <c r="C5" t="s">
        <v>298</v>
      </c>
      <c r="D5" s="55">
        <v>42468</v>
      </c>
      <c r="E5" t="s">
        <v>300</v>
      </c>
      <c r="F5" s="69"/>
      <c r="G5">
        <v>0.5</v>
      </c>
      <c r="H5" s="71"/>
      <c r="I5" s="3">
        <v>0.42</v>
      </c>
      <c r="J5" s="72"/>
      <c r="K5" s="72"/>
      <c r="L5" s="72"/>
    </row>
    <row r="6" spans="1:12" ht="31.5" x14ac:dyDescent="0.5">
      <c r="A6" t="s">
        <v>302</v>
      </c>
      <c r="B6">
        <v>666</v>
      </c>
      <c r="C6" t="s">
        <v>295</v>
      </c>
      <c r="D6" s="55">
        <v>42469</v>
      </c>
      <c r="E6" t="s">
        <v>303</v>
      </c>
      <c r="F6" s="69"/>
      <c r="G6">
        <v>0.8</v>
      </c>
      <c r="H6" s="71"/>
      <c r="I6" s="3">
        <v>0.53</v>
      </c>
      <c r="J6" s="72"/>
      <c r="K6" s="72"/>
      <c r="L6" s="72"/>
    </row>
    <row r="7" spans="1:12" ht="31.5" x14ac:dyDescent="0.5">
      <c r="A7" t="s">
        <v>304</v>
      </c>
      <c r="B7">
        <v>777</v>
      </c>
      <c r="C7" t="s">
        <v>295</v>
      </c>
      <c r="D7" s="55">
        <v>42470</v>
      </c>
      <c r="E7" t="s">
        <v>300</v>
      </c>
      <c r="F7" s="69"/>
      <c r="G7">
        <v>0.2</v>
      </c>
      <c r="H7" s="71"/>
      <c r="I7" s="3">
        <v>0.25</v>
      </c>
      <c r="J7" s="72"/>
      <c r="K7" s="72"/>
      <c r="L7" s="72"/>
    </row>
    <row r="8" spans="1:12" ht="31.5" x14ac:dyDescent="0.5">
      <c r="A8" t="s">
        <v>305</v>
      </c>
      <c r="B8">
        <v>888</v>
      </c>
      <c r="C8" t="s">
        <v>295</v>
      </c>
      <c r="D8" s="55">
        <v>42471</v>
      </c>
      <c r="E8" t="s">
        <v>300</v>
      </c>
      <c r="F8" s="69"/>
      <c r="G8">
        <v>0.4</v>
      </c>
      <c r="H8" s="71"/>
      <c r="I8" s="3">
        <v>0.36</v>
      </c>
      <c r="J8" s="72"/>
      <c r="K8" s="72"/>
      <c r="L8" s="72"/>
    </row>
    <row r="9" spans="1:12" ht="31.5" x14ac:dyDescent="0.5">
      <c r="A9" t="s">
        <v>306</v>
      </c>
      <c r="B9">
        <v>999</v>
      </c>
      <c r="C9" t="s">
        <v>298</v>
      </c>
      <c r="D9" s="55">
        <v>42472</v>
      </c>
      <c r="E9" t="s">
        <v>296</v>
      </c>
      <c r="F9" s="69"/>
      <c r="G9">
        <v>0.3</v>
      </c>
      <c r="H9" s="71"/>
      <c r="I9" s="3">
        <v>0.28999999999999998</v>
      </c>
      <c r="J9" s="72"/>
      <c r="K9" s="72"/>
      <c r="L9" s="72"/>
    </row>
    <row r="10" spans="1:12" ht="31.5" x14ac:dyDescent="0.5">
      <c r="A10" t="s">
        <v>307</v>
      </c>
      <c r="B10">
        <v>333</v>
      </c>
      <c r="C10" t="s">
        <v>298</v>
      </c>
      <c r="D10" s="55">
        <v>42473</v>
      </c>
      <c r="E10" t="s">
        <v>303</v>
      </c>
      <c r="F10" s="69"/>
      <c r="G10">
        <v>0.5</v>
      </c>
      <c r="H10" s="71"/>
      <c r="I10" s="3">
        <v>0.27</v>
      </c>
      <c r="J10" s="72"/>
      <c r="K10" s="72"/>
      <c r="L10" s="72"/>
    </row>
    <row r="11" spans="1:12" ht="31.5" x14ac:dyDescent="0.5">
      <c r="A11" t="s">
        <v>308</v>
      </c>
      <c r="B11">
        <v>433</v>
      </c>
      <c r="C11" t="s">
        <v>295</v>
      </c>
      <c r="D11" s="55">
        <v>42474</v>
      </c>
      <c r="E11" t="s">
        <v>296</v>
      </c>
      <c r="F11" s="69"/>
      <c r="G11">
        <v>0.7</v>
      </c>
      <c r="H11" s="71"/>
      <c r="I11" s="3">
        <v>0.55000000000000004</v>
      </c>
      <c r="J11" s="72"/>
      <c r="K11" s="72"/>
      <c r="L11" s="72"/>
    </row>
    <row r="13" spans="1:12" ht="45" x14ac:dyDescent="0.25">
      <c r="A13" t="s">
        <v>309</v>
      </c>
      <c r="B13" s="1" t="s">
        <v>310</v>
      </c>
      <c r="C13" t="s">
        <v>311</v>
      </c>
      <c r="D13" t="s">
        <v>93</v>
      </c>
      <c r="G13" t="s">
        <v>312</v>
      </c>
    </row>
    <row r="14" spans="1:12" x14ac:dyDescent="0.25">
      <c r="A14" t="s">
        <v>313</v>
      </c>
      <c r="B14">
        <v>15</v>
      </c>
      <c r="C14">
        <v>6.55</v>
      </c>
      <c r="D14" s="56">
        <v>0.22</v>
      </c>
      <c r="G14" t="s">
        <v>57</v>
      </c>
      <c r="H14" t="s">
        <v>287</v>
      </c>
      <c r="I14" t="s">
        <v>215</v>
      </c>
    </row>
    <row r="15" spans="1:12" ht="33.75" x14ac:dyDescent="0.5">
      <c r="A15" t="s">
        <v>314</v>
      </c>
      <c r="B15">
        <v>10</v>
      </c>
      <c r="C15">
        <v>4.28</v>
      </c>
      <c r="D15" s="56">
        <v>0.33</v>
      </c>
      <c r="G15" t="s">
        <v>295</v>
      </c>
      <c r="H15" t="s">
        <v>314</v>
      </c>
      <c r="I15" s="70"/>
    </row>
    <row r="16" spans="1:12" ht="33.75" x14ac:dyDescent="0.5">
      <c r="A16" t="s">
        <v>315</v>
      </c>
      <c r="B16">
        <v>18</v>
      </c>
      <c r="C16">
        <v>8.7899999999999991</v>
      </c>
      <c r="D16" s="56">
        <v>0.37</v>
      </c>
      <c r="G16" t="s">
        <v>295</v>
      </c>
      <c r="H16" t="s">
        <v>315</v>
      </c>
      <c r="I16" s="70"/>
    </row>
    <row r="17" spans="1:9" ht="33.75" x14ac:dyDescent="0.5">
      <c r="G17" t="s">
        <v>295</v>
      </c>
      <c r="H17" t="s">
        <v>313</v>
      </c>
      <c r="I17" s="70"/>
    </row>
    <row r="18" spans="1:9" ht="33.75" x14ac:dyDescent="0.5">
      <c r="A18" t="s">
        <v>316</v>
      </c>
      <c r="C18">
        <v>1.72</v>
      </c>
      <c r="G18" t="s">
        <v>298</v>
      </c>
      <c r="H18" t="s">
        <v>303</v>
      </c>
      <c r="I18" s="70"/>
    </row>
    <row r="19" spans="1:9" ht="33.75" x14ac:dyDescent="0.5">
      <c r="G19" t="s">
        <v>298</v>
      </c>
      <c r="H19" t="s">
        <v>315</v>
      </c>
      <c r="I19" s="70"/>
    </row>
    <row r="20" spans="1:9" x14ac:dyDescent="0.25">
      <c r="A20" s="53" t="s">
        <v>317</v>
      </c>
      <c r="B20" s="53"/>
    </row>
    <row r="21" spans="1:9" x14ac:dyDescent="0.25">
      <c r="A21" t="s">
        <v>318</v>
      </c>
    </row>
    <row r="22" spans="1:9" x14ac:dyDescent="0.25">
      <c r="A22" t="s">
        <v>319</v>
      </c>
    </row>
    <row r="24" spans="1:9" x14ac:dyDescent="0.25">
      <c r="A24" t="s">
        <v>320</v>
      </c>
    </row>
    <row r="26" spans="1:9" x14ac:dyDescent="0.25">
      <c r="A26" t="s">
        <v>321</v>
      </c>
    </row>
    <row r="28" spans="1:9" x14ac:dyDescent="0.25">
      <c r="A28" s="53" t="s">
        <v>322</v>
      </c>
    </row>
    <row r="30" spans="1:9" x14ac:dyDescent="0.25">
      <c r="A30" t="s">
        <v>323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tabColor rgb="FF00B050"/>
  </sheetPr>
  <dimension ref="A1:F33"/>
  <sheetViews>
    <sheetView tabSelected="1" workbookViewId="0">
      <selection activeCell="I15" sqref="I15"/>
    </sheetView>
  </sheetViews>
  <sheetFormatPr defaultRowHeight="15" x14ac:dyDescent="0.25"/>
  <cols>
    <col min="1" max="1" width="13.5703125" customWidth="1"/>
    <col min="257" max="257" width="13.5703125" customWidth="1"/>
    <col min="513" max="513" width="13.5703125" customWidth="1"/>
    <col min="769" max="769" width="13.5703125" customWidth="1"/>
    <col min="1025" max="1025" width="13.5703125" customWidth="1"/>
    <col min="1281" max="1281" width="13.5703125" customWidth="1"/>
    <col min="1537" max="1537" width="13.5703125" customWidth="1"/>
    <col min="1793" max="1793" width="13.5703125" customWidth="1"/>
    <col min="2049" max="2049" width="13.5703125" customWidth="1"/>
    <col min="2305" max="2305" width="13.5703125" customWidth="1"/>
    <col min="2561" max="2561" width="13.5703125" customWidth="1"/>
    <col min="2817" max="2817" width="13.5703125" customWidth="1"/>
    <col min="3073" max="3073" width="13.5703125" customWidth="1"/>
    <col min="3329" max="3329" width="13.5703125" customWidth="1"/>
    <col min="3585" max="3585" width="13.5703125" customWidth="1"/>
    <col min="3841" max="3841" width="13.5703125" customWidth="1"/>
    <col min="4097" max="4097" width="13.5703125" customWidth="1"/>
    <col min="4353" max="4353" width="13.5703125" customWidth="1"/>
    <col min="4609" max="4609" width="13.5703125" customWidth="1"/>
    <col min="4865" max="4865" width="13.5703125" customWidth="1"/>
    <col min="5121" max="5121" width="13.5703125" customWidth="1"/>
    <col min="5377" max="5377" width="13.5703125" customWidth="1"/>
    <col min="5633" max="5633" width="13.5703125" customWidth="1"/>
    <col min="5889" max="5889" width="13.5703125" customWidth="1"/>
    <col min="6145" max="6145" width="13.5703125" customWidth="1"/>
    <col min="6401" max="6401" width="13.5703125" customWidth="1"/>
    <col min="6657" max="6657" width="13.5703125" customWidth="1"/>
    <col min="6913" max="6913" width="13.5703125" customWidth="1"/>
    <col min="7169" max="7169" width="13.5703125" customWidth="1"/>
    <col min="7425" max="7425" width="13.5703125" customWidth="1"/>
    <col min="7681" max="7681" width="13.5703125" customWidth="1"/>
    <col min="7937" max="7937" width="13.5703125" customWidth="1"/>
    <col min="8193" max="8193" width="13.5703125" customWidth="1"/>
    <col min="8449" max="8449" width="13.5703125" customWidth="1"/>
    <col min="8705" max="8705" width="13.5703125" customWidth="1"/>
    <col min="8961" max="8961" width="13.5703125" customWidth="1"/>
    <col min="9217" max="9217" width="13.5703125" customWidth="1"/>
    <col min="9473" max="9473" width="13.5703125" customWidth="1"/>
    <col min="9729" max="9729" width="13.5703125" customWidth="1"/>
    <col min="9985" max="9985" width="13.5703125" customWidth="1"/>
    <col min="10241" max="10241" width="13.5703125" customWidth="1"/>
    <col min="10497" max="10497" width="13.5703125" customWidth="1"/>
    <col min="10753" max="10753" width="13.5703125" customWidth="1"/>
    <col min="11009" max="11009" width="13.5703125" customWidth="1"/>
    <col min="11265" max="11265" width="13.5703125" customWidth="1"/>
    <col min="11521" max="11521" width="13.5703125" customWidth="1"/>
    <col min="11777" max="11777" width="13.5703125" customWidth="1"/>
    <col min="12033" max="12033" width="13.5703125" customWidth="1"/>
    <col min="12289" max="12289" width="13.5703125" customWidth="1"/>
    <col min="12545" max="12545" width="13.5703125" customWidth="1"/>
    <col min="12801" max="12801" width="13.5703125" customWidth="1"/>
    <col min="13057" max="13057" width="13.5703125" customWidth="1"/>
    <col min="13313" max="13313" width="13.5703125" customWidth="1"/>
    <col min="13569" max="13569" width="13.5703125" customWidth="1"/>
    <col min="13825" max="13825" width="13.5703125" customWidth="1"/>
    <col min="14081" max="14081" width="13.5703125" customWidth="1"/>
    <col min="14337" max="14337" width="13.5703125" customWidth="1"/>
    <col min="14593" max="14593" width="13.5703125" customWidth="1"/>
    <col min="14849" max="14849" width="13.5703125" customWidth="1"/>
    <col min="15105" max="15105" width="13.5703125" customWidth="1"/>
    <col min="15361" max="15361" width="13.5703125" customWidth="1"/>
    <col min="15617" max="15617" width="13.5703125" customWidth="1"/>
    <col min="15873" max="15873" width="13.5703125" customWidth="1"/>
    <col min="16129" max="16129" width="13.5703125" customWidth="1"/>
  </cols>
  <sheetData>
    <row r="1" spans="1:6" x14ac:dyDescent="0.25">
      <c r="A1" t="s">
        <v>324</v>
      </c>
      <c r="B1" t="s">
        <v>325</v>
      </c>
    </row>
    <row r="2" spans="1:6" x14ac:dyDescent="0.25">
      <c r="A2" t="s">
        <v>326</v>
      </c>
      <c r="B2" t="s">
        <v>327</v>
      </c>
    </row>
    <row r="3" spans="1:6" x14ac:dyDescent="0.25">
      <c r="A3" t="s">
        <v>60</v>
      </c>
      <c r="B3">
        <f>(1+IF(VLOOKUP(B2,E13:F33,2,0)&gt;5,26.7%,0))*(VLOOKUP(B2,E13:F33,2,0)*VLOOKUP(B1,A12:B33,2,0))</f>
        <v>506.79999999999995</v>
      </c>
      <c r="D3" s="82"/>
    </row>
    <row r="5" spans="1:6" x14ac:dyDescent="0.25">
      <c r="A5" t="s">
        <v>328</v>
      </c>
    </row>
    <row r="6" spans="1:6" x14ac:dyDescent="0.25">
      <c r="A6" s="53" t="s">
        <v>329</v>
      </c>
    </row>
    <row r="7" spans="1:6" x14ac:dyDescent="0.25">
      <c r="A7" t="s">
        <v>330</v>
      </c>
    </row>
    <row r="8" spans="1:6" x14ac:dyDescent="0.25">
      <c r="A8" t="s">
        <v>331</v>
      </c>
    </row>
    <row r="11" spans="1:6" x14ac:dyDescent="0.25">
      <c r="A11" t="s">
        <v>332</v>
      </c>
      <c r="E11" t="s">
        <v>333</v>
      </c>
    </row>
    <row r="12" spans="1:6" x14ac:dyDescent="0.25">
      <c r="A12" s="57" t="s">
        <v>334</v>
      </c>
      <c r="B12" s="57" t="s">
        <v>335</v>
      </c>
      <c r="E12" t="s">
        <v>326</v>
      </c>
      <c r="F12" t="s">
        <v>336</v>
      </c>
    </row>
    <row r="13" spans="1:6" ht="15.75" x14ac:dyDescent="0.3">
      <c r="A13" s="58" t="s">
        <v>337</v>
      </c>
      <c r="B13" s="24">
        <v>50</v>
      </c>
      <c r="E13" s="59" t="s">
        <v>338</v>
      </c>
      <c r="F13" s="60" t="s">
        <v>339</v>
      </c>
    </row>
    <row r="14" spans="1:6" ht="15.75" x14ac:dyDescent="0.3">
      <c r="A14" s="58" t="s">
        <v>340</v>
      </c>
      <c r="B14" s="24">
        <v>50</v>
      </c>
      <c r="E14" s="61" t="s">
        <v>341</v>
      </c>
      <c r="F14" s="62">
        <v>8</v>
      </c>
    </row>
    <row r="15" spans="1:6" ht="15.75" x14ac:dyDescent="0.3">
      <c r="A15" s="58" t="s">
        <v>342</v>
      </c>
      <c r="B15" s="24">
        <v>60</v>
      </c>
      <c r="E15" s="63" t="s">
        <v>343</v>
      </c>
      <c r="F15" s="62">
        <v>8</v>
      </c>
    </row>
    <row r="16" spans="1:6" ht="15.75" x14ac:dyDescent="0.3">
      <c r="A16" s="58" t="s">
        <v>344</v>
      </c>
      <c r="B16" s="24">
        <v>50</v>
      </c>
      <c r="E16" s="64" t="s">
        <v>345</v>
      </c>
      <c r="F16" s="62">
        <v>6</v>
      </c>
    </row>
    <row r="17" spans="1:6" ht="15.75" x14ac:dyDescent="0.3">
      <c r="A17" s="58" t="s">
        <v>346</v>
      </c>
      <c r="B17" s="24">
        <v>55</v>
      </c>
      <c r="E17" s="64" t="s">
        <v>347</v>
      </c>
      <c r="F17" s="62">
        <v>10</v>
      </c>
    </row>
    <row r="18" spans="1:6" ht="15.75" x14ac:dyDescent="0.3">
      <c r="A18" s="58" t="s">
        <v>348</v>
      </c>
      <c r="B18" s="24">
        <v>66</v>
      </c>
      <c r="E18" s="64" t="s">
        <v>349</v>
      </c>
      <c r="F18" s="62">
        <v>3</v>
      </c>
    </row>
    <row r="19" spans="1:6" ht="15.75" x14ac:dyDescent="0.3">
      <c r="A19" s="58" t="s">
        <v>350</v>
      </c>
      <c r="B19" s="24">
        <v>55</v>
      </c>
      <c r="E19" s="63" t="s">
        <v>351</v>
      </c>
      <c r="F19" s="62">
        <v>3</v>
      </c>
    </row>
    <row r="20" spans="1:6" ht="15.75" x14ac:dyDescent="0.3">
      <c r="A20" s="58" t="s">
        <v>352</v>
      </c>
      <c r="B20" s="24">
        <v>55</v>
      </c>
      <c r="E20" s="64" t="s">
        <v>353</v>
      </c>
      <c r="F20" s="62">
        <v>4</v>
      </c>
    </row>
    <row r="21" spans="1:6" ht="15.75" x14ac:dyDescent="0.3">
      <c r="A21" s="58" t="s">
        <v>354</v>
      </c>
      <c r="B21" s="24">
        <v>66</v>
      </c>
      <c r="E21" s="64" t="s">
        <v>355</v>
      </c>
      <c r="F21" s="62">
        <v>3</v>
      </c>
    </row>
    <row r="22" spans="1:6" ht="15.75" x14ac:dyDescent="0.3">
      <c r="A22" s="58" t="s">
        <v>356</v>
      </c>
      <c r="B22" s="24">
        <v>75</v>
      </c>
      <c r="E22" s="64" t="s">
        <v>357</v>
      </c>
      <c r="F22" s="62">
        <v>3</v>
      </c>
    </row>
    <row r="23" spans="1:6" ht="15.75" x14ac:dyDescent="0.3">
      <c r="A23" s="58" t="s">
        <v>358</v>
      </c>
      <c r="B23" s="24">
        <v>80</v>
      </c>
      <c r="E23" s="63" t="s">
        <v>359</v>
      </c>
      <c r="F23" s="62">
        <v>3</v>
      </c>
    </row>
    <row r="24" spans="1:6" ht="15.75" x14ac:dyDescent="0.3">
      <c r="A24" s="58" t="s">
        <v>360</v>
      </c>
      <c r="B24" s="24">
        <v>90</v>
      </c>
      <c r="E24" s="63" t="s">
        <v>361</v>
      </c>
      <c r="F24" s="62">
        <v>3</v>
      </c>
    </row>
    <row r="25" spans="1:6" ht="15.75" x14ac:dyDescent="0.3">
      <c r="A25" s="58" t="s">
        <v>362</v>
      </c>
      <c r="B25" s="24">
        <v>90</v>
      </c>
      <c r="E25" s="64" t="s">
        <v>363</v>
      </c>
      <c r="F25" s="62">
        <v>3</v>
      </c>
    </row>
    <row r="26" spans="1:6" ht="15.75" x14ac:dyDescent="0.3">
      <c r="A26" s="58" t="s">
        <v>364</v>
      </c>
      <c r="B26" s="24">
        <v>80</v>
      </c>
      <c r="E26" s="64" t="s">
        <v>365</v>
      </c>
      <c r="F26" s="62">
        <v>4</v>
      </c>
    </row>
    <row r="27" spans="1:6" ht="15.75" x14ac:dyDescent="0.3">
      <c r="A27" s="58" t="s">
        <v>366</v>
      </c>
      <c r="B27" s="24">
        <v>86</v>
      </c>
      <c r="E27" s="64" t="s">
        <v>367</v>
      </c>
      <c r="F27" s="62">
        <v>1</v>
      </c>
    </row>
    <row r="28" spans="1:6" ht="15.75" x14ac:dyDescent="0.3">
      <c r="A28" s="58" t="s">
        <v>368</v>
      </c>
      <c r="B28" s="24">
        <v>75</v>
      </c>
      <c r="E28" s="63" t="s">
        <v>369</v>
      </c>
      <c r="F28" s="62">
        <v>1</v>
      </c>
    </row>
    <row r="29" spans="1:6" ht="15.75" x14ac:dyDescent="0.3">
      <c r="A29" s="58" t="s">
        <v>370</v>
      </c>
      <c r="B29" s="24">
        <v>66</v>
      </c>
      <c r="E29" s="64" t="s">
        <v>371</v>
      </c>
      <c r="F29" s="65">
        <v>3</v>
      </c>
    </row>
    <row r="30" spans="1:6" ht="15.75" x14ac:dyDescent="0.3">
      <c r="A30" s="58" t="s">
        <v>372</v>
      </c>
      <c r="B30" s="24">
        <v>67</v>
      </c>
      <c r="E30" s="63" t="s">
        <v>373</v>
      </c>
      <c r="F30" s="62">
        <v>3</v>
      </c>
    </row>
    <row r="31" spans="1:6" ht="15.75" x14ac:dyDescent="0.3">
      <c r="A31" s="58" t="s">
        <v>374</v>
      </c>
      <c r="B31" s="24">
        <v>67</v>
      </c>
      <c r="E31" s="63" t="s">
        <v>375</v>
      </c>
      <c r="F31" s="62">
        <v>8</v>
      </c>
    </row>
    <row r="32" spans="1:6" ht="15.75" x14ac:dyDescent="0.3">
      <c r="A32" s="58" t="s">
        <v>376</v>
      </c>
      <c r="B32" s="24">
        <v>68</v>
      </c>
      <c r="E32" s="63" t="s">
        <v>377</v>
      </c>
      <c r="F32" s="62">
        <v>8</v>
      </c>
    </row>
    <row r="33" spans="1:6" ht="15.75" x14ac:dyDescent="0.3">
      <c r="A33" s="58" t="s">
        <v>378</v>
      </c>
      <c r="B33" s="24">
        <v>69</v>
      </c>
      <c r="E33" s="64" t="s">
        <v>379</v>
      </c>
      <c r="F33" s="62">
        <v>8</v>
      </c>
    </row>
  </sheetData>
  <dataValidations disablePrompts="1" count="2">
    <dataValidation type="list" allowBlank="1" showInputMessage="1" showErrorMessage="1" errorTitle="Erro de entrada" error="Motorista inválido." sqref="B1" xr:uid="{38DDC371-854E-44FF-8B18-A6CC6E71440B}">
      <formula1>$A$13:$A$33</formula1>
    </dataValidation>
    <dataValidation type="list" allowBlank="1" showInputMessage="1" showErrorMessage="1" errorTitle="Erro de entrada" error="Cidade inválida." sqref="B2" xr:uid="{9AA23F2B-44EE-4569-AE5B-46BF8F758656}">
      <formula1>$E$14:$E$33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tabColor rgb="FFFF0000"/>
  </sheetPr>
  <dimension ref="A1:N18"/>
  <sheetViews>
    <sheetView workbookViewId="0">
      <selection activeCell="B15" sqref="B15"/>
    </sheetView>
  </sheetViews>
  <sheetFormatPr defaultRowHeight="15" x14ac:dyDescent="0.25"/>
  <cols>
    <col min="1" max="1" width="13.7109375" bestFit="1" customWidth="1"/>
    <col min="2" max="2" width="14.28515625" bestFit="1" customWidth="1"/>
    <col min="3" max="3" width="8.28515625" bestFit="1" customWidth="1"/>
    <col min="4" max="4" width="11.140625" bestFit="1" customWidth="1"/>
    <col min="5" max="5" width="14.28515625" bestFit="1" customWidth="1"/>
    <col min="6" max="6" width="11.42578125" bestFit="1" customWidth="1"/>
    <col min="8" max="8" width="7" bestFit="1" customWidth="1"/>
    <col min="13" max="13" width="13" customWidth="1"/>
    <col min="257" max="257" width="13.7109375" bestFit="1" customWidth="1"/>
    <col min="258" max="258" width="14.28515625" bestFit="1" customWidth="1"/>
    <col min="259" max="259" width="8.28515625" bestFit="1" customWidth="1"/>
    <col min="260" max="260" width="11.140625" bestFit="1" customWidth="1"/>
    <col min="261" max="261" width="14.28515625" bestFit="1" customWidth="1"/>
    <col min="262" max="262" width="11.42578125" bestFit="1" customWidth="1"/>
    <col min="264" max="264" width="7" bestFit="1" customWidth="1"/>
    <col min="269" max="269" width="13" customWidth="1"/>
    <col min="513" max="513" width="13.7109375" bestFit="1" customWidth="1"/>
    <col min="514" max="514" width="14.28515625" bestFit="1" customWidth="1"/>
    <col min="515" max="515" width="8.28515625" bestFit="1" customWidth="1"/>
    <col min="516" max="516" width="11.140625" bestFit="1" customWidth="1"/>
    <col min="517" max="517" width="14.28515625" bestFit="1" customWidth="1"/>
    <col min="518" max="518" width="11.42578125" bestFit="1" customWidth="1"/>
    <col min="520" max="520" width="7" bestFit="1" customWidth="1"/>
    <col min="525" max="525" width="13" customWidth="1"/>
    <col min="769" max="769" width="13.7109375" bestFit="1" customWidth="1"/>
    <col min="770" max="770" width="14.28515625" bestFit="1" customWidth="1"/>
    <col min="771" max="771" width="8.28515625" bestFit="1" customWidth="1"/>
    <col min="772" max="772" width="11.140625" bestFit="1" customWidth="1"/>
    <col min="773" max="773" width="14.28515625" bestFit="1" customWidth="1"/>
    <col min="774" max="774" width="11.42578125" bestFit="1" customWidth="1"/>
    <col min="776" max="776" width="7" bestFit="1" customWidth="1"/>
    <col min="781" max="781" width="13" customWidth="1"/>
    <col min="1025" max="1025" width="13.7109375" bestFit="1" customWidth="1"/>
    <col min="1026" max="1026" width="14.28515625" bestFit="1" customWidth="1"/>
    <col min="1027" max="1027" width="8.28515625" bestFit="1" customWidth="1"/>
    <col min="1028" max="1028" width="11.140625" bestFit="1" customWidth="1"/>
    <col min="1029" max="1029" width="14.28515625" bestFit="1" customWidth="1"/>
    <col min="1030" max="1030" width="11.42578125" bestFit="1" customWidth="1"/>
    <col min="1032" max="1032" width="7" bestFit="1" customWidth="1"/>
    <col min="1037" max="1037" width="13" customWidth="1"/>
    <col min="1281" max="1281" width="13.7109375" bestFit="1" customWidth="1"/>
    <col min="1282" max="1282" width="14.28515625" bestFit="1" customWidth="1"/>
    <col min="1283" max="1283" width="8.28515625" bestFit="1" customWidth="1"/>
    <col min="1284" max="1284" width="11.140625" bestFit="1" customWidth="1"/>
    <col min="1285" max="1285" width="14.28515625" bestFit="1" customWidth="1"/>
    <col min="1286" max="1286" width="11.42578125" bestFit="1" customWidth="1"/>
    <col min="1288" max="1288" width="7" bestFit="1" customWidth="1"/>
    <col min="1293" max="1293" width="13" customWidth="1"/>
    <col min="1537" max="1537" width="13.7109375" bestFit="1" customWidth="1"/>
    <col min="1538" max="1538" width="14.28515625" bestFit="1" customWidth="1"/>
    <col min="1539" max="1539" width="8.28515625" bestFit="1" customWidth="1"/>
    <col min="1540" max="1540" width="11.140625" bestFit="1" customWidth="1"/>
    <col min="1541" max="1541" width="14.28515625" bestFit="1" customWidth="1"/>
    <col min="1542" max="1542" width="11.42578125" bestFit="1" customWidth="1"/>
    <col min="1544" max="1544" width="7" bestFit="1" customWidth="1"/>
    <col min="1549" max="1549" width="13" customWidth="1"/>
    <col min="1793" max="1793" width="13.7109375" bestFit="1" customWidth="1"/>
    <col min="1794" max="1794" width="14.28515625" bestFit="1" customWidth="1"/>
    <col min="1795" max="1795" width="8.28515625" bestFit="1" customWidth="1"/>
    <col min="1796" max="1796" width="11.140625" bestFit="1" customWidth="1"/>
    <col min="1797" max="1797" width="14.28515625" bestFit="1" customWidth="1"/>
    <col min="1798" max="1798" width="11.42578125" bestFit="1" customWidth="1"/>
    <col min="1800" max="1800" width="7" bestFit="1" customWidth="1"/>
    <col min="1805" max="1805" width="13" customWidth="1"/>
    <col min="2049" max="2049" width="13.7109375" bestFit="1" customWidth="1"/>
    <col min="2050" max="2050" width="14.28515625" bestFit="1" customWidth="1"/>
    <col min="2051" max="2051" width="8.28515625" bestFit="1" customWidth="1"/>
    <col min="2052" max="2052" width="11.140625" bestFit="1" customWidth="1"/>
    <col min="2053" max="2053" width="14.28515625" bestFit="1" customWidth="1"/>
    <col min="2054" max="2054" width="11.42578125" bestFit="1" customWidth="1"/>
    <col min="2056" max="2056" width="7" bestFit="1" customWidth="1"/>
    <col min="2061" max="2061" width="13" customWidth="1"/>
    <col min="2305" max="2305" width="13.7109375" bestFit="1" customWidth="1"/>
    <col min="2306" max="2306" width="14.28515625" bestFit="1" customWidth="1"/>
    <col min="2307" max="2307" width="8.28515625" bestFit="1" customWidth="1"/>
    <col min="2308" max="2308" width="11.140625" bestFit="1" customWidth="1"/>
    <col min="2309" max="2309" width="14.28515625" bestFit="1" customWidth="1"/>
    <col min="2310" max="2310" width="11.42578125" bestFit="1" customWidth="1"/>
    <col min="2312" max="2312" width="7" bestFit="1" customWidth="1"/>
    <col min="2317" max="2317" width="13" customWidth="1"/>
    <col min="2561" max="2561" width="13.7109375" bestFit="1" customWidth="1"/>
    <col min="2562" max="2562" width="14.28515625" bestFit="1" customWidth="1"/>
    <col min="2563" max="2563" width="8.28515625" bestFit="1" customWidth="1"/>
    <col min="2564" max="2564" width="11.140625" bestFit="1" customWidth="1"/>
    <col min="2565" max="2565" width="14.28515625" bestFit="1" customWidth="1"/>
    <col min="2566" max="2566" width="11.42578125" bestFit="1" customWidth="1"/>
    <col min="2568" max="2568" width="7" bestFit="1" customWidth="1"/>
    <col min="2573" max="2573" width="13" customWidth="1"/>
    <col min="2817" max="2817" width="13.7109375" bestFit="1" customWidth="1"/>
    <col min="2818" max="2818" width="14.28515625" bestFit="1" customWidth="1"/>
    <col min="2819" max="2819" width="8.28515625" bestFit="1" customWidth="1"/>
    <col min="2820" max="2820" width="11.140625" bestFit="1" customWidth="1"/>
    <col min="2821" max="2821" width="14.28515625" bestFit="1" customWidth="1"/>
    <col min="2822" max="2822" width="11.42578125" bestFit="1" customWidth="1"/>
    <col min="2824" max="2824" width="7" bestFit="1" customWidth="1"/>
    <col min="2829" max="2829" width="13" customWidth="1"/>
    <col min="3073" max="3073" width="13.7109375" bestFit="1" customWidth="1"/>
    <col min="3074" max="3074" width="14.28515625" bestFit="1" customWidth="1"/>
    <col min="3075" max="3075" width="8.28515625" bestFit="1" customWidth="1"/>
    <col min="3076" max="3076" width="11.140625" bestFit="1" customWidth="1"/>
    <col min="3077" max="3077" width="14.28515625" bestFit="1" customWidth="1"/>
    <col min="3078" max="3078" width="11.42578125" bestFit="1" customWidth="1"/>
    <col min="3080" max="3080" width="7" bestFit="1" customWidth="1"/>
    <col min="3085" max="3085" width="13" customWidth="1"/>
    <col min="3329" max="3329" width="13.7109375" bestFit="1" customWidth="1"/>
    <col min="3330" max="3330" width="14.28515625" bestFit="1" customWidth="1"/>
    <col min="3331" max="3331" width="8.28515625" bestFit="1" customWidth="1"/>
    <col min="3332" max="3332" width="11.140625" bestFit="1" customWidth="1"/>
    <col min="3333" max="3333" width="14.28515625" bestFit="1" customWidth="1"/>
    <col min="3334" max="3334" width="11.42578125" bestFit="1" customWidth="1"/>
    <col min="3336" max="3336" width="7" bestFit="1" customWidth="1"/>
    <col min="3341" max="3341" width="13" customWidth="1"/>
    <col min="3585" max="3585" width="13.7109375" bestFit="1" customWidth="1"/>
    <col min="3586" max="3586" width="14.28515625" bestFit="1" customWidth="1"/>
    <col min="3587" max="3587" width="8.28515625" bestFit="1" customWidth="1"/>
    <col min="3588" max="3588" width="11.140625" bestFit="1" customWidth="1"/>
    <col min="3589" max="3589" width="14.28515625" bestFit="1" customWidth="1"/>
    <col min="3590" max="3590" width="11.42578125" bestFit="1" customWidth="1"/>
    <col min="3592" max="3592" width="7" bestFit="1" customWidth="1"/>
    <col min="3597" max="3597" width="13" customWidth="1"/>
    <col min="3841" max="3841" width="13.7109375" bestFit="1" customWidth="1"/>
    <col min="3842" max="3842" width="14.28515625" bestFit="1" customWidth="1"/>
    <col min="3843" max="3843" width="8.28515625" bestFit="1" customWidth="1"/>
    <col min="3844" max="3844" width="11.140625" bestFit="1" customWidth="1"/>
    <col min="3845" max="3845" width="14.28515625" bestFit="1" customWidth="1"/>
    <col min="3846" max="3846" width="11.42578125" bestFit="1" customWidth="1"/>
    <col min="3848" max="3848" width="7" bestFit="1" customWidth="1"/>
    <col min="3853" max="3853" width="13" customWidth="1"/>
    <col min="4097" max="4097" width="13.7109375" bestFit="1" customWidth="1"/>
    <col min="4098" max="4098" width="14.28515625" bestFit="1" customWidth="1"/>
    <col min="4099" max="4099" width="8.28515625" bestFit="1" customWidth="1"/>
    <col min="4100" max="4100" width="11.140625" bestFit="1" customWidth="1"/>
    <col min="4101" max="4101" width="14.28515625" bestFit="1" customWidth="1"/>
    <col min="4102" max="4102" width="11.42578125" bestFit="1" customWidth="1"/>
    <col min="4104" max="4104" width="7" bestFit="1" customWidth="1"/>
    <col min="4109" max="4109" width="13" customWidth="1"/>
    <col min="4353" max="4353" width="13.7109375" bestFit="1" customWidth="1"/>
    <col min="4354" max="4354" width="14.28515625" bestFit="1" customWidth="1"/>
    <col min="4355" max="4355" width="8.28515625" bestFit="1" customWidth="1"/>
    <col min="4356" max="4356" width="11.140625" bestFit="1" customWidth="1"/>
    <col min="4357" max="4357" width="14.28515625" bestFit="1" customWidth="1"/>
    <col min="4358" max="4358" width="11.42578125" bestFit="1" customWidth="1"/>
    <col min="4360" max="4360" width="7" bestFit="1" customWidth="1"/>
    <col min="4365" max="4365" width="13" customWidth="1"/>
    <col min="4609" max="4609" width="13.7109375" bestFit="1" customWidth="1"/>
    <col min="4610" max="4610" width="14.28515625" bestFit="1" customWidth="1"/>
    <col min="4611" max="4611" width="8.28515625" bestFit="1" customWidth="1"/>
    <col min="4612" max="4612" width="11.140625" bestFit="1" customWidth="1"/>
    <col min="4613" max="4613" width="14.28515625" bestFit="1" customWidth="1"/>
    <col min="4614" max="4614" width="11.42578125" bestFit="1" customWidth="1"/>
    <col min="4616" max="4616" width="7" bestFit="1" customWidth="1"/>
    <col min="4621" max="4621" width="13" customWidth="1"/>
    <col min="4865" max="4865" width="13.7109375" bestFit="1" customWidth="1"/>
    <col min="4866" max="4866" width="14.28515625" bestFit="1" customWidth="1"/>
    <col min="4867" max="4867" width="8.28515625" bestFit="1" customWidth="1"/>
    <col min="4868" max="4868" width="11.140625" bestFit="1" customWidth="1"/>
    <col min="4869" max="4869" width="14.28515625" bestFit="1" customWidth="1"/>
    <col min="4870" max="4870" width="11.42578125" bestFit="1" customWidth="1"/>
    <col min="4872" max="4872" width="7" bestFit="1" customWidth="1"/>
    <col min="4877" max="4877" width="13" customWidth="1"/>
    <col min="5121" max="5121" width="13.7109375" bestFit="1" customWidth="1"/>
    <col min="5122" max="5122" width="14.28515625" bestFit="1" customWidth="1"/>
    <col min="5123" max="5123" width="8.28515625" bestFit="1" customWidth="1"/>
    <col min="5124" max="5124" width="11.140625" bestFit="1" customWidth="1"/>
    <col min="5125" max="5125" width="14.28515625" bestFit="1" customWidth="1"/>
    <col min="5126" max="5126" width="11.42578125" bestFit="1" customWidth="1"/>
    <col min="5128" max="5128" width="7" bestFit="1" customWidth="1"/>
    <col min="5133" max="5133" width="13" customWidth="1"/>
    <col min="5377" max="5377" width="13.7109375" bestFit="1" customWidth="1"/>
    <col min="5378" max="5378" width="14.28515625" bestFit="1" customWidth="1"/>
    <col min="5379" max="5379" width="8.28515625" bestFit="1" customWidth="1"/>
    <col min="5380" max="5380" width="11.140625" bestFit="1" customWidth="1"/>
    <col min="5381" max="5381" width="14.28515625" bestFit="1" customWidth="1"/>
    <col min="5382" max="5382" width="11.42578125" bestFit="1" customWidth="1"/>
    <col min="5384" max="5384" width="7" bestFit="1" customWidth="1"/>
    <col min="5389" max="5389" width="13" customWidth="1"/>
    <col min="5633" max="5633" width="13.7109375" bestFit="1" customWidth="1"/>
    <col min="5634" max="5634" width="14.28515625" bestFit="1" customWidth="1"/>
    <col min="5635" max="5635" width="8.28515625" bestFit="1" customWidth="1"/>
    <col min="5636" max="5636" width="11.140625" bestFit="1" customWidth="1"/>
    <col min="5637" max="5637" width="14.28515625" bestFit="1" customWidth="1"/>
    <col min="5638" max="5638" width="11.42578125" bestFit="1" customWidth="1"/>
    <col min="5640" max="5640" width="7" bestFit="1" customWidth="1"/>
    <col min="5645" max="5645" width="13" customWidth="1"/>
    <col min="5889" max="5889" width="13.7109375" bestFit="1" customWidth="1"/>
    <col min="5890" max="5890" width="14.28515625" bestFit="1" customWidth="1"/>
    <col min="5891" max="5891" width="8.28515625" bestFit="1" customWidth="1"/>
    <col min="5892" max="5892" width="11.140625" bestFit="1" customWidth="1"/>
    <col min="5893" max="5893" width="14.28515625" bestFit="1" customWidth="1"/>
    <col min="5894" max="5894" width="11.42578125" bestFit="1" customWidth="1"/>
    <col min="5896" max="5896" width="7" bestFit="1" customWidth="1"/>
    <col min="5901" max="5901" width="13" customWidth="1"/>
    <col min="6145" max="6145" width="13.7109375" bestFit="1" customWidth="1"/>
    <col min="6146" max="6146" width="14.28515625" bestFit="1" customWidth="1"/>
    <col min="6147" max="6147" width="8.28515625" bestFit="1" customWidth="1"/>
    <col min="6148" max="6148" width="11.140625" bestFit="1" customWidth="1"/>
    <col min="6149" max="6149" width="14.28515625" bestFit="1" customWidth="1"/>
    <col min="6150" max="6150" width="11.42578125" bestFit="1" customWidth="1"/>
    <col min="6152" max="6152" width="7" bestFit="1" customWidth="1"/>
    <col min="6157" max="6157" width="13" customWidth="1"/>
    <col min="6401" max="6401" width="13.7109375" bestFit="1" customWidth="1"/>
    <col min="6402" max="6402" width="14.28515625" bestFit="1" customWidth="1"/>
    <col min="6403" max="6403" width="8.28515625" bestFit="1" customWidth="1"/>
    <col min="6404" max="6404" width="11.140625" bestFit="1" customWidth="1"/>
    <col min="6405" max="6405" width="14.28515625" bestFit="1" customWidth="1"/>
    <col min="6406" max="6406" width="11.42578125" bestFit="1" customWidth="1"/>
    <col min="6408" max="6408" width="7" bestFit="1" customWidth="1"/>
    <col min="6413" max="6413" width="13" customWidth="1"/>
    <col min="6657" max="6657" width="13.7109375" bestFit="1" customWidth="1"/>
    <col min="6658" max="6658" width="14.28515625" bestFit="1" customWidth="1"/>
    <col min="6659" max="6659" width="8.28515625" bestFit="1" customWidth="1"/>
    <col min="6660" max="6660" width="11.140625" bestFit="1" customWidth="1"/>
    <col min="6661" max="6661" width="14.28515625" bestFit="1" customWidth="1"/>
    <col min="6662" max="6662" width="11.42578125" bestFit="1" customWidth="1"/>
    <col min="6664" max="6664" width="7" bestFit="1" customWidth="1"/>
    <col min="6669" max="6669" width="13" customWidth="1"/>
    <col min="6913" max="6913" width="13.7109375" bestFit="1" customWidth="1"/>
    <col min="6914" max="6914" width="14.28515625" bestFit="1" customWidth="1"/>
    <col min="6915" max="6915" width="8.28515625" bestFit="1" customWidth="1"/>
    <col min="6916" max="6916" width="11.140625" bestFit="1" customWidth="1"/>
    <col min="6917" max="6917" width="14.28515625" bestFit="1" customWidth="1"/>
    <col min="6918" max="6918" width="11.42578125" bestFit="1" customWidth="1"/>
    <col min="6920" max="6920" width="7" bestFit="1" customWidth="1"/>
    <col min="6925" max="6925" width="13" customWidth="1"/>
    <col min="7169" max="7169" width="13.7109375" bestFit="1" customWidth="1"/>
    <col min="7170" max="7170" width="14.28515625" bestFit="1" customWidth="1"/>
    <col min="7171" max="7171" width="8.28515625" bestFit="1" customWidth="1"/>
    <col min="7172" max="7172" width="11.140625" bestFit="1" customWidth="1"/>
    <col min="7173" max="7173" width="14.28515625" bestFit="1" customWidth="1"/>
    <col min="7174" max="7174" width="11.42578125" bestFit="1" customWidth="1"/>
    <col min="7176" max="7176" width="7" bestFit="1" customWidth="1"/>
    <col min="7181" max="7181" width="13" customWidth="1"/>
    <col min="7425" max="7425" width="13.7109375" bestFit="1" customWidth="1"/>
    <col min="7426" max="7426" width="14.28515625" bestFit="1" customWidth="1"/>
    <col min="7427" max="7427" width="8.28515625" bestFit="1" customWidth="1"/>
    <col min="7428" max="7428" width="11.140625" bestFit="1" customWidth="1"/>
    <col min="7429" max="7429" width="14.28515625" bestFit="1" customWidth="1"/>
    <col min="7430" max="7430" width="11.42578125" bestFit="1" customWidth="1"/>
    <col min="7432" max="7432" width="7" bestFit="1" customWidth="1"/>
    <col min="7437" max="7437" width="13" customWidth="1"/>
    <col min="7681" max="7681" width="13.7109375" bestFit="1" customWidth="1"/>
    <col min="7682" max="7682" width="14.28515625" bestFit="1" customWidth="1"/>
    <col min="7683" max="7683" width="8.28515625" bestFit="1" customWidth="1"/>
    <col min="7684" max="7684" width="11.140625" bestFit="1" customWidth="1"/>
    <col min="7685" max="7685" width="14.28515625" bestFit="1" customWidth="1"/>
    <col min="7686" max="7686" width="11.42578125" bestFit="1" customWidth="1"/>
    <col min="7688" max="7688" width="7" bestFit="1" customWidth="1"/>
    <col min="7693" max="7693" width="13" customWidth="1"/>
    <col min="7937" max="7937" width="13.7109375" bestFit="1" customWidth="1"/>
    <col min="7938" max="7938" width="14.28515625" bestFit="1" customWidth="1"/>
    <col min="7939" max="7939" width="8.28515625" bestFit="1" customWidth="1"/>
    <col min="7940" max="7940" width="11.140625" bestFit="1" customWidth="1"/>
    <col min="7941" max="7941" width="14.28515625" bestFit="1" customWidth="1"/>
    <col min="7942" max="7942" width="11.42578125" bestFit="1" customWidth="1"/>
    <col min="7944" max="7944" width="7" bestFit="1" customWidth="1"/>
    <col min="7949" max="7949" width="13" customWidth="1"/>
    <col min="8193" max="8193" width="13.7109375" bestFit="1" customWidth="1"/>
    <col min="8194" max="8194" width="14.28515625" bestFit="1" customWidth="1"/>
    <col min="8195" max="8195" width="8.28515625" bestFit="1" customWidth="1"/>
    <col min="8196" max="8196" width="11.140625" bestFit="1" customWidth="1"/>
    <col min="8197" max="8197" width="14.28515625" bestFit="1" customWidth="1"/>
    <col min="8198" max="8198" width="11.42578125" bestFit="1" customWidth="1"/>
    <col min="8200" max="8200" width="7" bestFit="1" customWidth="1"/>
    <col min="8205" max="8205" width="13" customWidth="1"/>
    <col min="8449" max="8449" width="13.7109375" bestFit="1" customWidth="1"/>
    <col min="8450" max="8450" width="14.28515625" bestFit="1" customWidth="1"/>
    <col min="8451" max="8451" width="8.28515625" bestFit="1" customWidth="1"/>
    <col min="8452" max="8452" width="11.140625" bestFit="1" customWidth="1"/>
    <col min="8453" max="8453" width="14.28515625" bestFit="1" customWidth="1"/>
    <col min="8454" max="8454" width="11.42578125" bestFit="1" customWidth="1"/>
    <col min="8456" max="8456" width="7" bestFit="1" customWidth="1"/>
    <col min="8461" max="8461" width="13" customWidth="1"/>
    <col min="8705" max="8705" width="13.7109375" bestFit="1" customWidth="1"/>
    <col min="8706" max="8706" width="14.28515625" bestFit="1" customWidth="1"/>
    <col min="8707" max="8707" width="8.28515625" bestFit="1" customWidth="1"/>
    <col min="8708" max="8708" width="11.140625" bestFit="1" customWidth="1"/>
    <col min="8709" max="8709" width="14.28515625" bestFit="1" customWidth="1"/>
    <col min="8710" max="8710" width="11.42578125" bestFit="1" customWidth="1"/>
    <col min="8712" max="8712" width="7" bestFit="1" customWidth="1"/>
    <col min="8717" max="8717" width="13" customWidth="1"/>
    <col min="8961" max="8961" width="13.7109375" bestFit="1" customWidth="1"/>
    <col min="8962" max="8962" width="14.28515625" bestFit="1" customWidth="1"/>
    <col min="8963" max="8963" width="8.28515625" bestFit="1" customWidth="1"/>
    <col min="8964" max="8964" width="11.140625" bestFit="1" customWidth="1"/>
    <col min="8965" max="8965" width="14.28515625" bestFit="1" customWidth="1"/>
    <col min="8966" max="8966" width="11.42578125" bestFit="1" customWidth="1"/>
    <col min="8968" max="8968" width="7" bestFit="1" customWidth="1"/>
    <col min="8973" max="8973" width="13" customWidth="1"/>
    <col min="9217" max="9217" width="13.7109375" bestFit="1" customWidth="1"/>
    <col min="9218" max="9218" width="14.28515625" bestFit="1" customWidth="1"/>
    <col min="9219" max="9219" width="8.28515625" bestFit="1" customWidth="1"/>
    <col min="9220" max="9220" width="11.140625" bestFit="1" customWidth="1"/>
    <col min="9221" max="9221" width="14.28515625" bestFit="1" customWidth="1"/>
    <col min="9222" max="9222" width="11.42578125" bestFit="1" customWidth="1"/>
    <col min="9224" max="9224" width="7" bestFit="1" customWidth="1"/>
    <col min="9229" max="9229" width="13" customWidth="1"/>
    <col min="9473" max="9473" width="13.7109375" bestFit="1" customWidth="1"/>
    <col min="9474" max="9474" width="14.28515625" bestFit="1" customWidth="1"/>
    <col min="9475" max="9475" width="8.28515625" bestFit="1" customWidth="1"/>
    <col min="9476" max="9476" width="11.140625" bestFit="1" customWidth="1"/>
    <col min="9477" max="9477" width="14.28515625" bestFit="1" customWidth="1"/>
    <col min="9478" max="9478" width="11.42578125" bestFit="1" customWidth="1"/>
    <col min="9480" max="9480" width="7" bestFit="1" customWidth="1"/>
    <col min="9485" max="9485" width="13" customWidth="1"/>
    <col min="9729" max="9729" width="13.7109375" bestFit="1" customWidth="1"/>
    <col min="9730" max="9730" width="14.28515625" bestFit="1" customWidth="1"/>
    <col min="9731" max="9731" width="8.28515625" bestFit="1" customWidth="1"/>
    <col min="9732" max="9732" width="11.140625" bestFit="1" customWidth="1"/>
    <col min="9733" max="9733" width="14.28515625" bestFit="1" customWidth="1"/>
    <col min="9734" max="9734" width="11.42578125" bestFit="1" customWidth="1"/>
    <col min="9736" max="9736" width="7" bestFit="1" customWidth="1"/>
    <col min="9741" max="9741" width="13" customWidth="1"/>
    <col min="9985" max="9985" width="13.7109375" bestFit="1" customWidth="1"/>
    <col min="9986" max="9986" width="14.28515625" bestFit="1" customWidth="1"/>
    <col min="9987" max="9987" width="8.28515625" bestFit="1" customWidth="1"/>
    <col min="9988" max="9988" width="11.140625" bestFit="1" customWidth="1"/>
    <col min="9989" max="9989" width="14.28515625" bestFit="1" customWidth="1"/>
    <col min="9990" max="9990" width="11.42578125" bestFit="1" customWidth="1"/>
    <col min="9992" max="9992" width="7" bestFit="1" customWidth="1"/>
    <col min="9997" max="9997" width="13" customWidth="1"/>
    <col min="10241" max="10241" width="13.7109375" bestFit="1" customWidth="1"/>
    <col min="10242" max="10242" width="14.28515625" bestFit="1" customWidth="1"/>
    <col min="10243" max="10243" width="8.28515625" bestFit="1" customWidth="1"/>
    <col min="10244" max="10244" width="11.140625" bestFit="1" customWidth="1"/>
    <col min="10245" max="10245" width="14.28515625" bestFit="1" customWidth="1"/>
    <col min="10246" max="10246" width="11.42578125" bestFit="1" customWidth="1"/>
    <col min="10248" max="10248" width="7" bestFit="1" customWidth="1"/>
    <col min="10253" max="10253" width="13" customWidth="1"/>
    <col min="10497" max="10497" width="13.7109375" bestFit="1" customWidth="1"/>
    <col min="10498" max="10498" width="14.28515625" bestFit="1" customWidth="1"/>
    <col min="10499" max="10499" width="8.28515625" bestFit="1" customWidth="1"/>
    <col min="10500" max="10500" width="11.140625" bestFit="1" customWidth="1"/>
    <col min="10501" max="10501" width="14.28515625" bestFit="1" customWidth="1"/>
    <col min="10502" max="10502" width="11.42578125" bestFit="1" customWidth="1"/>
    <col min="10504" max="10504" width="7" bestFit="1" customWidth="1"/>
    <col min="10509" max="10509" width="13" customWidth="1"/>
    <col min="10753" max="10753" width="13.7109375" bestFit="1" customWidth="1"/>
    <col min="10754" max="10754" width="14.28515625" bestFit="1" customWidth="1"/>
    <col min="10755" max="10755" width="8.28515625" bestFit="1" customWidth="1"/>
    <col min="10756" max="10756" width="11.140625" bestFit="1" customWidth="1"/>
    <col min="10757" max="10757" width="14.28515625" bestFit="1" customWidth="1"/>
    <col min="10758" max="10758" width="11.42578125" bestFit="1" customWidth="1"/>
    <col min="10760" max="10760" width="7" bestFit="1" customWidth="1"/>
    <col min="10765" max="10765" width="13" customWidth="1"/>
    <col min="11009" max="11009" width="13.7109375" bestFit="1" customWidth="1"/>
    <col min="11010" max="11010" width="14.28515625" bestFit="1" customWidth="1"/>
    <col min="11011" max="11011" width="8.28515625" bestFit="1" customWidth="1"/>
    <col min="11012" max="11012" width="11.140625" bestFit="1" customWidth="1"/>
    <col min="11013" max="11013" width="14.28515625" bestFit="1" customWidth="1"/>
    <col min="11014" max="11014" width="11.42578125" bestFit="1" customWidth="1"/>
    <col min="11016" max="11016" width="7" bestFit="1" customWidth="1"/>
    <col min="11021" max="11021" width="13" customWidth="1"/>
    <col min="11265" max="11265" width="13.7109375" bestFit="1" customWidth="1"/>
    <col min="11266" max="11266" width="14.28515625" bestFit="1" customWidth="1"/>
    <col min="11267" max="11267" width="8.28515625" bestFit="1" customWidth="1"/>
    <col min="11268" max="11268" width="11.140625" bestFit="1" customWidth="1"/>
    <col min="11269" max="11269" width="14.28515625" bestFit="1" customWidth="1"/>
    <col min="11270" max="11270" width="11.42578125" bestFit="1" customWidth="1"/>
    <col min="11272" max="11272" width="7" bestFit="1" customWidth="1"/>
    <col min="11277" max="11277" width="13" customWidth="1"/>
    <col min="11521" max="11521" width="13.7109375" bestFit="1" customWidth="1"/>
    <col min="11522" max="11522" width="14.28515625" bestFit="1" customWidth="1"/>
    <col min="11523" max="11523" width="8.28515625" bestFit="1" customWidth="1"/>
    <col min="11524" max="11524" width="11.140625" bestFit="1" customWidth="1"/>
    <col min="11525" max="11525" width="14.28515625" bestFit="1" customWidth="1"/>
    <col min="11526" max="11526" width="11.42578125" bestFit="1" customWidth="1"/>
    <col min="11528" max="11528" width="7" bestFit="1" customWidth="1"/>
    <col min="11533" max="11533" width="13" customWidth="1"/>
    <col min="11777" max="11777" width="13.7109375" bestFit="1" customWidth="1"/>
    <col min="11778" max="11778" width="14.28515625" bestFit="1" customWidth="1"/>
    <col min="11779" max="11779" width="8.28515625" bestFit="1" customWidth="1"/>
    <col min="11780" max="11780" width="11.140625" bestFit="1" customWidth="1"/>
    <col min="11781" max="11781" width="14.28515625" bestFit="1" customWidth="1"/>
    <col min="11782" max="11782" width="11.42578125" bestFit="1" customWidth="1"/>
    <col min="11784" max="11784" width="7" bestFit="1" customWidth="1"/>
    <col min="11789" max="11789" width="13" customWidth="1"/>
    <col min="12033" max="12033" width="13.7109375" bestFit="1" customWidth="1"/>
    <col min="12034" max="12034" width="14.28515625" bestFit="1" customWidth="1"/>
    <col min="12035" max="12035" width="8.28515625" bestFit="1" customWidth="1"/>
    <col min="12036" max="12036" width="11.140625" bestFit="1" customWidth="1"/>
    <col min="12037" max="12037" width="14.28515625" bestFit="1" customWidth="1"/>
    <col min="12038" max="12038" width="11.42578125" bestFit="1" customWidth="1"/>
    <col min="12040" max="12040" width="7" bestFit="1" customWidth="1"/>
    <col min="12045" max="12045" width="13" customWidth="1"/>
    <col min="12289" max="12289" width="13.7109375" bestFit="1" customWidth="1"/>
    <col min="12290" max="12290" width="14.28515625" bestFit="1" customWidth="1"/>
    <col min="12291" max="12291" width="8.28515625" bestFit="1" customWidth="1"/>
    <col min="12292" max="12292" width="11.140625" bestFit="1" customWidth="1"/>
    <col min="12293" max="12293" width="14.28515625" bestFit="1" customWidth="1"/>
    <col min="12294" max="12294" width="11.42578125" bestFit="1" customWidth="1"/>
    <col min="12296" max="12296" width="7" bestFit="1" customWidth="1"/>
    <col min="12301" max="12301" width="13" customWidth="1"/>
    <col min="12545" max="12545" width="13.7109375" bestFit="1" customWidth="1"/>
    <col min="12546" max="12546" width="14.28515625" bestFit="1" customWidth="1"/>
    <col min="12547" max="12547" width="8.28515625" bestFit="1" customWidth="1"/>
    <col min="12548" max="12548" width="11.140625" bestFit="1" customWidth="1"/>
    <col min="12549" max="12549" width="14.28515625" bestFit="1" customWidth="1"/>
    <col min="12550" max="12550" width="11.42578125" bestFit="1" customWidth="1"/>
    <col min="12552" max="12552" width="7" bestFit="1" customWidth="1"/>
    <col min="12557" max="12557" width="13" customWidth="1"/>
    <col min="12801" max="12801" width="13.7109375" bestFit="1" customWidth="1"/>
    <col min="12802" max="12802" width="14.28515625" bestFit="1" customWidth="1"/>
    <col min="12803" max="12803" width="8.28515625" bestFit="1" customWidth="1"/>
    <col min="12804" max="12804" width="11.140625" bestFit="1" customWidth="1"/>
    <col min="12805" max="12805" width="14.28515625" bestFit="1" customWidth="1"/>
    <col min="12806" max="12806" width="11.42578125" bestFit="1" customWidth="1"/>
    <col min="12808" max="12808" width="7" bestFit="1" customWidth="1"/>
    <col min="12813" max="12813" width="13" customWidth="1"/>
    <col min="13057" max="13057" width="13.7109375" bestFit="1" customWidth="1"/>
    <col min="13058" max="13058" width="14.28515625" bestFit="1" customWidth="1"/>
    <col min="13059" max="13059" width="8.28515625" bestFit="1" customWidth="1"/>
    <col min="13060" max="13060" width="11.140625" bestFit="1" customWidth="1"/>
    <col min="13061" max="13061" width="14.28515625" bestFit="1" customWidth="1"/>
    <col min="13062" max="13062" width="11.42578125" bestFit="1" customWidth="1"/>
    <col min="13064" max="13064" width="7" bestFit="1" customWidth="1"/>
    <col min="13069" max="13069" width="13" customWidth="1"/>
    <col min="13313" max="13313" width="13.7109375" bestFit="1" customWidth="1"/>
    <col min="13314" max="13314" width="14.28515625" bestFit="1" customWidth="1"/>
    <col min="13315" max="13315" width="8.28515625" bestFit="1" customWidth="1"/>
    <col min="13316" max="13316" width="11.140625" bestFit="1" customWidth="1"/>
    <col min="13317" max="13317" width="14.28515625" bestFit="1" customWidth="1"/>
    <col min="13318" max="13318" width="11.42578125" bestFit="1" customWidth="1"/>
    <col min="13320" max="13320" width="7" bestFit="1" customWidth="1"/>
    <col min="13325" max="13325" width="13" customWidth="1"/>
    <col min="13569" max="13569" width="13.7109375" bestFit="1" customWidth="1"/>
    <col min="13570" max="13570" width="14.28515625" bestFit="1" customWidth="1"/>
    <col min="13571" max="13571" width="8.28515625" bestFit="1" customWidth="1"/>
    <col min="13572" max="13572" width="11.140625" bestFit="1" customWidth="1"/>
    <col min="13573" max="13573" width="14.28515625" bestFit="1" customWidth="1"/>
    <col min="13574" max="13574" width="11.42578125" bestFit="1" customWidth="1"/>
    <col min="13576" max="13576" width="7" bestFit="1" customWidth="1"/>
    <col min="13581" max="13581" width="13" customWidth="1"/>
    <col min="13825" max="13825" width="13.7109375" bestFit="1" customWidth="1"/>
    <col min="13826" max="13826" width="14.28515625" bestFit="1" customWidth="1"/>
    <col min="13827" max="13827" width="8.28515625" bestFit="1" customWidth="1"/>
    <col min="13828" max="13828" width="11.140625" bestFit="1" customWidth="1"/>
    <col min="13829" max="13829" width="14.28515625" bestFit="1" customWidth="1"/>
    <col min="13830" max="13830" width="11.42578125" bestFit="1" customWidth="1"/>
    <col min="13832" max="13832" width="7" bestFit="1" customWidth="1"/>
    <col min="13837" max="13837" width="13" customWidth="1"/>
    <col min="14081" max="14081" width="13.7109375" bestFit="1" customWidth="1"/>
    <col min="14082" max="14082" width="14.28515625" bestFit="1" customWidth="1"/>
    <col min="14083" max="14083" width="8.28515625" bestFit="1" customWidth="1"/>
    <col min="14084" max="14084" width="11.140625" bestFit="1" customWidth="1"/>
    <col min="14085" max="14085" width="14.28515625" bestFit="1" customWidth="1"/>
    <col min="14086" max="14086" width="11.42578125" bestFit="1" customWidth="1"/>
    <col min="14088" max="14088" width="7" bestFit="1" customWidth="1"/>
    <col min="14093" max="14093" width="13" customWidth="1"/>
    <col min="14337" max="14337" width="13.7109375" bestFit="1" customWidth="1"/>
    <col min="14338" max="14338" width="14.28515625" bestFit="1" customWidth="1"/>
    <col min="14339" max="14339" width="8.28515625" bestFit="1" customWidth="1"/>
    <col min="14340" max="14340" width="11.140625" bestFit="1" customWidth="1"/>
    <col min="14341" max="14341" width="14.28515625" bestFit="1" customWidth="1"/>
    <col min="14342" max="14342" width="11.42578125" bestFit="1" customWidth="1"/>
    <col min="14344" max="14344" width="7" bestFit="1" customWidth="1"/>
    <col min="14349" max="14349" width="13" customWidth="1"/>
    <col min="14593" max="14593" width="13.7109375" bestFit="1" customWidth="1"/>
    <col min="14594" max="14594" width="14.28515625" bestFit="1" customWidth="1"/>
    <col min="14595" max="14595" width="8.28515625" bestFit="1" customWidth="1"/>
    <col min="14596" max="14596" width="11.140625" bestFit="1" customWidth="1"/>
    <col min="14597" max="14597" width="14.28515625" bestFit="1" customWidth="1"/>
    <col min="14598" max="14598" width="11.42578125" bestFit="1" customWidth="1"/>
    <col min="14600" max="14600" width="7" bestFit="1" customWidth="1"/>
    <col min="14605" max="14605" width="13" customWidth="1"/>
    <col min="14849" max="14849" width="13.7109375" bestFit="1" customWidth="1"/>
    <col min="14850" max="14850" width="14.28515625" bestFit="1" customWidth="1"/>
    <col min="14851" max="14851" width="8.28515625" bestFit="1" customWidth="1"/>
    <col min="14852" max="14852" width="11.140625" bestFit="1" customWidth="1"/>
    <col min="14853" max="14853" width="14.28515625" bestFit="1" customWidth="1"/>
    <col min="14854" max="14854" width="11.42578125" bestFit="1" customWidth="1"/>
    <col min="14856" max="14856" width="7" bestFit="1" customWidth="1"/>
    <col min="14861" max="14861" width="13" customWidth="1"/>
    <col min="15105" max="15105" width="13.7109375" bestFit="1" customWidth="1"/>
    <col min="15106" max="15106" width="14.28515625" bestFit="1" customWidth="1"/>
    <col min="15107" max="15107" width="8.28515625" bestFit="1" customWidth="1"/>
    <col min="15108" max="15108" width="11.140625" bestFit="1" customWidth="1"/>
    <col min="15109" max="15109" width="14.28515625" bestFit="1" customWidth="1"/>
    <col min="15110" max="15110" width="11.42578125" bestFit="1" customWidth="1"/>
    <col min="15112" max="15112" width="7" bestFit="1" customWidth="1"/>
    <col min="15117" max="15117" width="13" customWidth="1"/>
    <col min="15361" max="15361" width="13.7109375" bestFit="1" customWidth="1"/>
    <col min="15362" max="15362" width="14.28515625" bestFit="1" customWidth="1"/>
    <col min="15363" max="15363" width="8.28515625" bestFit="1" customWidth="1"/>
    <col min="15364" max="15364" width="11.140625" bestFit="1" customWidth="1"/>
    <col min="15365" max="15365" width="14.28515625" bestFit="1" customWidth="1"/>
    <col min="15366" max="15366" width="11.42578125" bestFit="1" customWidth="1"/>
    <col min="15368" max="15368" width="7" bestFit="1" customWidth="1"/>
    <col min="15373" max="15373" width="13" customWidth="1"/>
    <col min="15617" max="15617" width="13.7109375" bestFit="1" customWidth="1"/>
    <col min="15618" max="15618" width="14.28515625" bestFit="1" customWidth="1"/>
    <col min="15619" max="15619" width="8.28515625" bestFit="1" customWidth="1"/>
    <col min="15620" max="15620" width="11.140625" bestFit="1" customWidth="1"/>
    <col min="15621" max="15621" width="14.28515625" bestFit="1" customWidth="1"/>
    <col min="15622" max="15622" width="11.42578125" bestFit="1" customWidth="1"/>
    <col min="15624" max="15624" width="7" bestFit="1" customWidth="1"/>
    <col min="15629" max="15629" width="13" customWidth="1"/>
    <col min="15873" max="15873" width="13.7109375" bestFit="1" customWidth="1"/>
    <col min="15874" max="15874" width="14.28515625" bestFit="1" customWidth="1"/>
    <col min="15875" max="15875" width="8.28515625" bestFit="1" customWidth="1"/>
    <col min="15876" max="15876" width="11.140625" bestFit="1" customWidth="1"/>
    <col min="15877" max="15877" width="14.28515625" bestFit="1" customWidth="1"/>
    <col min="15878" max="15878" width="11.42578125" bestFit="1" customWidth="1"/>
    <col min="15880" max="15880" width="7" bestFit="1" customWidth="1"/>
    <col min="15885" max="15885" width="13" customWidth="1"/>
    <col min="16129" max="16129" width="13.7109375" bestFit="1" customWidth="1"/>
    <col min="16130" max="16130" width="14.28515625" bestFit="1" customWidth="1"/>
    <col min="16131" max="16131" width="8.28515625" bestFit="1" customWidth="1"/>
    <col min="16132" max="16132" width="11.140625" bestFit="1" customWidth="1"/>
    <col min="16133" max="16133" width="14.28515625" bestFit="1" customWidth="1"/>
    <col min="16134" max="16134" width="11.42578125" bestFit="1" customWidth="1"/>
    <col min="16136" max="16136" width="7" bestFit="1" customWidth="1"/>
    <col min="16141" max="16141" width="13" customWidth="1"/>
  </cols>
  <sheetData>
    <row r="1" spans="1:14" x14ac:dyDescent="0.25">
      <c r="A1" t="s">
        <v>380</v>
      </c>
      <c r="B1" t="s">
        <v>17</v>
      </c>
      <c r="C1" t="s">
        <v>381</v>
      </c>
      <c r="D1" t="s">
        <v>382</v>
      </c>
      <c r="E1" t="s">
        <v>383</v>
      </c>
      <c r="F1" t="s">
        <v>384</v>
      </c>
      <c r="G1" t="s">
        <v>385</v>
      </c>
      <c r="H1" t="s">
        <v>386</v>
      </c>
      <c r="M1" t="s">
        <v>387</v>
      </c>
    </row>
    <row r="2" spans="1:14" x14ac:dyDescent="0.25">
      <c r="A2" t="s">
        <v>131</v>
      </c>
      <c r="B2">
        <v>2500</v>
      </c>
      <c r="C2">
        <v>220</v>
      </c>
      <c r="D2">
        <v>150</v>
      </c>
      <c r="E2">
        <v>350</v>
      </c>
      <c r="F2">
        <v>7800</v>
      </c>
      <c r="G2">
        <f>SUM(B2:F2)*0.01</f>
        <v>110.2</v>
      </c>
      <c r="H2">
        <f>G2*2.5</f>
        <v>275.5</v>
      </c>
      <c r="M2" t="s">
        <v>131</v>
      </c>
      <c r="N2">
        <v>1</v>
      </c>
    </row>
    <row r="3" spans="1:14" x14ac:dyDescent="0.25">
      <c r="A3" t="s">
        <v>388</v>
      </c>
      <c r="B3">
        <v>1800</v>
      </c>
      <c r="C3">
        <v>190</v>
      </c>
      <c r="D3">
        <v>150</v>
      </c>
      <c r="E3">
        <v>300</v>
      </c>
      <c r="F3">
        <v>7800</v>
      </c>
      <c r="G3">
        <f t="shared" ref="G3:G9" si="0">SUM(B3:F3)*0.01</f>
        <v>102.4</v>
      </c>
      <c r="H3">
        <f t="shared" ref="H3:H9" si="1">G3*2.5</f>
        <v>256</v>
      </c>
      <c r="M3" t="s">
        <v>388</v>
      </c>
      <c r="N3">
        <v>2</v>
      </c>
    </row>
    <row r="4" spans="1:14" x14ac:dyDescent="0.25">
      <c r="A4" t="s">
        <v>389</v>
      </c>
      <c r="B4">
        <v>2800</v>
      </c>
      <c r="C4">
        <v>1020</v>
      </c>
      <c r="D4">
        <v>1700</v>
      </c>
      <c r="E4">
        <v>300</v>
      </c>
      <c r="F4">
        <v>9800</v>
      </c>
      <c r="G4">
        <f t="shared" si="0"/>
        <v>156.20000000000002</v>
      </c>
      <c r="H4">
        <f t="shared" si="1"/>
        <v>390.50000000000006</v>
      </c>
      <c r="M4" t="s">
        <v>389</v>
      </c>
      <c r="N4">
        <v>3</v>
      </c>
    </row>
    <row r="5" spans="1:14" x14ac:dyDescent="0.25">
      <c r="A5" t="s">
        <v>390</v>
      </c>
      <c r="B5">
        <v>3700</v>
      </c>
      <c r="C5">
        <v>2100</v>
      </c>
      <c r="D5">
        <v>1900</v>
      </c>
      <c r="E5">
        <v>760</v>
      </c>
      <c r="F5">
        <v>10100</v>
      </c>
      <c r="G5">
        <f t="shared" si="0"/>
        <v>185.6</v>
      </c>
      <c r="H5">
        <f t="shared" si="1"/>
        <v>464</v>
      </c>
      <c r="M5" t="s">
        <v>390</v>
      </c>
      <c r="N5">
        <v>4</v>
      </c>
    </row>
    <row r="6" spans="1:14" x14ac:dyDescent="0.25">
      <c r="A6" t="s">
        <v>126</v>
      </c>
      <c r="B6">
        <v>4100</v>
      </c>
      <c r="C6">
        <v>2100</v>
      </c>
      <c r="D6">
        <v>2500</v>
      </c>
      <c r="E6">
        <v>980</v>
      </c>
      <c r="F6">
        <v>15900</v>
      </c>
      <c r="G6">
        <f t="shared" si="0"/>
        <v>255.8</v>
      </c>
      <c r="H6">
        <f t="shared" si="1"/>
        <v>639.5</v>
      </c>
      <c r="M6" t="s">
        <v>126</v>
      </c>
      <c r="N6">
        <v>5</v>
      </c>
    </row>
    <row r="7" spans="1:14" x14ac:dyDescent="0.25">
      <c r="A7" t="s">
        <v>129</v>
      </c>
      <c r="B7">
        <v>2050</v>
      </c>
      <c r="C7">
        <v>120</v>
      </c>
      <c r="D7">
        <v>350</v>
      </c>
      <c r="E7">
        <v>300</v>
      </c>
      <c r="F7">
        <v>9800</v>
      </c>
      <c r="G7">
        <f t="shared" si="0"/>
        <v>126.2</v>
      </c>
      <c r="H7">
        <f t="shared" si="1"/>
        <v>315.5</v>
      </c>
      <c r="M7" t="s">
        <v>129</v>
      </c>
      <c r="N7">
        <v>6</v>
      </c>
    </row>
    <row r="8" spans="1:14" x14ac:dyDescent="0.25">
      <c r="A8" t="s">
        <v>391</v>
      </c>
      <c r="B8">
        <v>1900</v>
      </c>
      <c r="C8">
        <v>150</v>
      </c>
      <c r="D8">
        <v>150</v>
      </c>
      <c r="E8">
        <v>300</v>
      </c>
      <c r="F8">
        <v>9700</v>
      </c>
      <c r="G8">
        <f t="shared" si="0"/>
        <v>122</v>
      </c>
      <c r="H8">
        <f t="shared" si="1"/>
        <v>305</v>
      </c>
      <c r="M8" t="s">
        <v>391</v>
      </c>
      <c r="N8">
        <v>7</v>
      </c>
    </row>
    <row r="9" spans="1:14" x14ac:dyDescent="0.25">
      <c r="A9" t="s">
        <v>392</v>
      </c>
      <c r="B9">
        <v>2100</v>
      </c>
      <c r="C9">
        <v>150</v>
      </c>
      <c r="D9">
        <v>250</v>
      </c>
      <c r="E9">
        <v>300</v>
      </c>
      <c r="F9">
        <v>9600</v>
      </c>
      <c r="G9">
        <f t="shared" si="0"/>
        <v>124</v>
      </c>
      <c r="H9">
        <f t="shared" si="1"/>
        <v>310</v>
      </c>
      <c r="M9" t="s">
        <v>392</v>
      </c>
      <c r="N9">
        <v>8</v>
      </c>
    </row>
    <row r="12" spans="1:14" x14ac:dyDescent="0.25">
      <c r="A12" t="s">
        <v>140</v>
      </c>
      <c r="B12" t="s">
        <v>390</v>
      </c>
      <c r="E12" s="66"/>
    </row>
    <row r="13" spans="1:14" x14ac:dyDescent="0.25">
      <c r="A13" t="s">
        <v>393</v>
      </c>
      <c r="B13" t="s">
        <v>383</v>
      </c>
    </row>
    <row r="14" spans="1:14" x14ac:dyDescent="0.25">
      <c r="A14" t="s">
        <v>60</v>
      </c>
      <c r="B14">
        <f>VLOOKUP(B12,$A$1:$H$9,MATCH(B13,$A$1:$H$1,0))</f>
        <v>760</v>
      </c>
    </row>
    <row r="16" spans="1:14" x14ac:dyDescent="0.25">
      <c r="A16" t="s">
        <v>394</v>
      </c>
    </row>
    <row r="18" spans="1:1" x14ac:dyDescent="0.25">
      <c r="A18" t="s">
        <v>395</v>
      </c>
    </row>
  </sheetData>
  <dataValidations count="2">
    <dataValidation type="list" allowBlank="1" showInputMessage="1" showErrorMessage="1" errorTitle="Erro de entrada" error="Curso inválido." sqref="B12" xr:uid="{DB49F872-42A0-4924-85F7-937753CF6850}">
      <formula1>$A$2:$A$9</formula1>
    </dataValidation>
    <dataValidation type="list" allowBlank="1" showInputMessage="1" showErrorMessage="1" errorTitle="Erro de entrada" error="Gasto inválido." sqref="B13" xr:uid="{FDEDAF68-DB1F-4298-AF2E-5EC3BA8210EB}">
      <formula1>$B$1:$H$1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Plan1</vt:lpstr>
      <vt:lpstr>Plan2</vt:lpstr>
      <vt:lpstr>Plan3</vt:lpstr>
      <vt:lpstr>Plan4</vt:lpstr>
      <vt:lpstr>Plan5</vt:lpstr>
      <vt:lpstr>Plan6</vt:lpstr>
      <vt:lpstr>Plan7</vt:lpstr>
      <vt:lpstr>Plan8</vt:lpstr>
      <vt:lpstr>Plan9</vt:lpstr>
      <vt:lpstr>Plan10</vt:lpstr>
      <vt:lpstr>Plan11</vt:lpstr>
      <vt:lpstr>Plan13</vt:lpstr>
      <vt:lpstr>Plan14</vt:lpstr>
      <vt:lpstr>Plan15</vt:lpstr>
      <vt:lpstr>Plan16</vt:lpstr>
      <vt:lpstr>Plan17</vt:lpstr>
      <vt:lpstr>Plan18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</dc:creator>
  <cp:lastModifiedBy>Rafael Nunes</cp:lastModifiedBy>
  <dcterms:created xsi:type="dcterms:W3CDTF">2013-03-16T11:25:12Z</dcterms:created>
  <dcterms:modified xsi:type="dcterms:W3CDTF">2019-10-03T18:43:02Z</dcterms:modified>
</cp:coreProperties>
</file>